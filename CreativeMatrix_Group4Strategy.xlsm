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myhome.itap.purdue.edu\puhome\pu.data\Desktop\"/>
    </mc:Choice>
  </mc:AlternateContent>
  <bookViews>
    <workbookView xWindow="480" yWindow="345" windowWidth="27375" windowHeight="13170" activeTab="2"/>
  </bookViews>
  <sheets>
    <sheet name="Data" sheetId="2" r:id="rId1"/>
    <sheet name="Game" sheetId="1" r:id="rId2"/>
    <sheet name="Strategy" sheetId="4" r:id="rId3"/>
    <sheet name="ro_HiddenInfo" sheetId="3" state="hidden" r:id="rId4"/>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2</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OptimizationAdjustableCellAddresses" hidden="1">ro_HiddenInfo!$H$16</definedName>
    <definedName name="Pal_Workbook_GUID" hidden="1">"LD6FNCIPCDMIZCXK8ZGB4J6N"</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"$J$8"</definedName>
    <definedName name="RiskSelectedNameCell1" hidden="1">"$G$8"</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62913"/>
</workbook>
</file>

<file path=xl/calcChain.xml><?xml version="1.0" encoding="utf-8"?>
<calcChain xmlns="http://schemas.openxmlformats.org/spreadsheetml/2006/main">
  <c r="L7" i="2" l="1"/>
  <c r="K7" i="2"/>
  <c r="J7" i="2"/>
  <c r="I7" i="2"/>
  <c r="L6" i="2"/>
  <c r="K6" i="2"/>
  <c r="J6" i="2"/>
  <c r="I6" i="2"/>
  <c r="H7" i="2"/>
  <c r="H6" i="2"/>
  <c r="H16" i="3"/>
  <c r="J14" i="1"/>
  <c r="J15" i="1"/>
  <c r="J16" i="1"/>
  <c r="J17" i="1"/>
  <c r="J18" i="1"/>
  <c r="J19" i="1"/>
  <c r="J20" i="1"/>
  <c r="J21" i="1"/>
  <c r="J22" i="1"/>
  <c r="J23" i="1"/>
  <c r="J24" i="1"/>
  <c r="J25" i="1"/>
  <c r="J26" i="1"/>
  <c r="J27" i="1"/>
  <c r="J28" i="1"/>
  <c r="J29" i="1"/>
  <c r="J30" i="1"/>
  <c r="J31" i="1"/>
  <c r="J32" i="1"/>
  <c r="J33" i="1"/>
  <c r="J34" i="1"/>
  <c r="J35" i="1"/>
  <c r="J36" i="1"/>
  <c r="J13" i="1"/>
  <c r="E26" i="1"/>
  <c r="E27" i="1"/>
  <c r="E28" i="1"/>
  <c r="E29" i="1"/>
  <c r="E30" i="1"/>
  <c r="E31" i="1"/>
  <c r="E32" i="1"/>
  <c r="E33" i="1"/>
  <c r="E34" i="1"/>
  <c r="E35" i="1"/>
  <c r="E36" i="1"/>
  <c r="E25" i="1"/>
  <c r="E14" i="1"/>
  <c r="E15" i="1"/>
  <c r="E16" i="1"/>
  <c r="E17" i="1"/>
  <c r="E18" i="1"/>
  <c r="E19" i="1"/>
  <c r="E20" i="1"/>
  <c r="E21" i="1"/>
  <c r="E22" i="1"/>
  <c r="E23" i="1"/>
  <c r="E24" i="1"/>
  <c r="E13" i="1"/>
  <c r="D26" i="1"/>
  <c r="F26" i="1" s="1"/>
  <c r="D27" i="1"/>
  <c r="F27" i="1" s="1"/>
  <c r="D28" i="1"/>
  <c r="F28" i="1" s="1"/>
  <c r="D29" i="1"/>
  <c r="F29" i="1" s="1"/>
  <c r="D30" i="1"/>
  <c r="F30" i="1" s="1"/>
  <c r="D31" i="1"/>
  <c r="F31" i="1" s="1"/>
  <c r="D32" i="1"/>
  <c r="F32" i="1" s="1"/>
  <c r="D33" i="1"/>
  <c r="F33" i="1" s="1"/>
  <c r="D34" i="1"/>
  <c r="F34" i="1" s="1"/>
  <c r="D35" i="1"/>
  <c r="F35" i="1" s="1"/>
  <c r="D36" i="1"/>
  <c r="F36" i="1" s="1"/>
  <c r="D25" i="1"/>
  <c r="F25" i="1" s="1"/>
  <c r="D14" i="1"/>
  <c r="F14" i="1" s="1"/>
  <c r="D15" i="1"/>
  <c r="F15" i="1" s="1"/>
  <c r="D16" i="1"/>
  <c r="F16" i="1" s="1"/>
  <c r="D17" i="1"/>
  <c r="F17" i="1" s="1"/>
  <c r="D18" i="1"/>
  <c r="F18" i="1" s="1"/>
  <c r="D19" i="1"/>
  <c r="F19" i="1" s="1"/>
  <c r="D20" i="1"/>
  <c r="F20" i="1" s="1"/>
  <c r="D21" i="1"/>
  <c r="F21" i="1" s="1"/>
  <c r="D22" i="1"/>
  <c r="F22" i="1" s="1"/>
  <c r="D23" i="1"/>
  <c r="F23" i="1" s="1"/>
  <c r="D24" i="1"/>
  <c r="F24" i="1" s="1"/>
  <c r="D13" i="1"/>
  <c r="F13" i="1" s="1"/>
  <c r="G13" i="1" l="1"/>
  <c r="H13" i="1" s="1"/>
  <c r="F37" i="1"/>
  <c r="I4" i="1" s="1"/>
  <c r="I13" i="1" l="1"/>
  <c r="K13" i="1" s="1"/>
  <c r="L13" i="1" l="1"/>
  <c r="C14" i="1" s="1"/>
  <c r="G14" i="1" l="1"/>
  <c r="H14" i="1" l="1"/>
  <c r="I14" i="1"/>
  <c r="K14" i="1" l="1"/>
  <c r="L14" i="1" l="1"/>
  <c r="C15" i="1" s="1"/>
  <c r="G15" i="1" l="1"/>
  <c r="H15" i="1" l="1"/>
  <c r="I15" i="1"/>
  <c r="K15" i="1" l="1"/>
  <c r="L15" i="1" l="1"/>
  <c r="C16" i="1" s="1"/>
  <c r="G16" i="1" l="1"/>
  <c r="H16" i="1" l="1"/>
  <c r="I16" i="1"/>
  <c r="K16" i="1" l="1"/>
  <c r="L16" i="1" s="1"/>
  <c r="C17" i="1" s="1"/>
  <c r="G17" i="1" l="1"/>
  <c r="H17" i="1" s="1"/>
  <c r="I17" i="1" l="1"/>
  <c r="K17" i="1" l="1"/>
  <c r="L17" i="1" s="1"/>
  <c r="C18" i="1" s="1"/>
  <c r="G18" i="1" l="1"/>
  <c r="H18" i="1" s="1"/>
  <c r="I18" i="1" l="1"/>
  <c r="K18" i="1" l="1"/>
  <c r="L18" i="1" s="1"/>
  <c r="C19" i="1" s="1"/>
  <c r="G19" i="1" l="1"/>
  <c r="H19" i="1" s="1"/>
  <c r="I19" i="1" l="1"/>
  <c r="K19" i="1" l="1"/>
  <c r="L19" i="1" s="1"/>
  <c r="C20" i="1" s="1"/>
  <c r="G20" i="1" l="1"/>
  <c r="H20" i="1" s="1"/>
  <c r="I20" i="1" l="1"/>
  <c r="K20" i="1" l="1"/>
  <c r="L20" i="1" s="1"/>
  <c r="C21" i="1" s="1"/>
  <c r="G21" i="1" l="1"/>
  <c r="H21" i="1" s="1"/>
  <c r="I21" i="1" l="1"/>
  <c r="K21" i="1" l="1"/>
  <c r="L21" i="1" s="1"/>
  <c r="C22" i="1" s="1"/>
  <c r="G22" i="1" l="1"/>
  <c r="H22" i="1" s="1"/>
  <c r="I22" i="1" l="1"/>
  <c r="K22" i="1" l="1"/>
  <c r="L22" i="1" s="1"/>
  <c r="C23" i="1" s="1"/>
  <c r="G23" i="1" l="1"/>
  <c r="H23" i="1" s="1"/>
  <c r="I23" i="1" l="1"/>
  <c r="K23" i="1" l="1"/>
  <c r="L23" i="1" s="1"/>
  <c r="C24" i="1" s="1"/>
  <c r="G24" i="1" l="1"/>
  <c r="H24" i="1" s="1"/>
  <c r="I24" i="1" l="1"/>
  <c r="K24" i="1" l="1"/>
  <c r="L24" i="1" s="1"/>
  <c r="C25" i="1" s="1"/>
  <c r="G25" i="1" l="1"/>
  <c r="H25" i="1" s="1"/>
  <c r="I25" i="1" l="1"/>
  <c r="K25" i="1" l="1"/>
  <c r="L25" i="1" s="1"/>
  <c r="C26" i="1" s="1"/>
  <c r="G26" i="1" l="1"/>
  <c r="H26" i="1" s="1"/>
  <c r="I26" i="1" l="1"/>
  <c r="K26" i="1" l="1"/>
  <c r="L26" i="1" s="1"/>
  <c r="C27" i="1" s="1"/>
  <c r="G27" i="1" l="1"/>
  <c r="H27" i="1" s="1"/>
  <c r="I27" i="1" l="1"/>
  <c r="K27" i="1" l="1"/>
  <c r="L27" i="1" s="1"/>
  <c r="C28" i="1" s="1"/>
  <c r="G28" i="1" l="1"/>
  <c r="H28" i="1" s="1"/>
  <c r="I28" i="1" l="1"/>
  <c r="K28" i="1" l="1"/>
  <c r="L28" i="1" s="1"/>
  <c r="C29" i="1" s="1"/>
  <c r="G29" i="1" l="1"/>
  <c r="H29" i="1" s="1"/>
  <c r="I29" i="1" l="1"/>
  <c r="K29" i="1" l="1"/>
  <c r="L29" i="1" s="1"/>
  <c r="C30" i="1" s="1"/>
  <c r="G30" i="1" l="1"/>
  <c r="H30" i="1" s="1"/>
  <c r="I30" i="1" l="1"/>
  <c r="K30" i="1" l="1"/>
  <c r="L30" i="1" s="1"/>
  <c r="C31" i="1" s="1"/>
  <c r="G31" i="1" l="1"/>
  <c r="H31" i="1" s="1"/>
  <c r="I31" i="1" l="1"/>
  <c r="K31" i="1" l="1"/>
  <c r="L31" i="1" s="1"/>
  <c r="C32" i="1" s="1"/>
  <c r="G32" i="1" l="1"/>
  <c r="H32" i="1" s="1"/>
  <c r="I32" i="1" l="1"/>
  <c r="K32" i="1" l="1"/>
  <c r="L32" i="1" s="1"/>
  <c r="C33" i="1" s="1"/>
  <c r="G33" i="1" l="1"/>
  <c r="H33" i="1" s="1"/>
  <c r="I33" i="1" l="1"/>
  <c r="K33" i="1" l="1"/>
  <c r="L33" i="1" s="1"/>
  <c r="C34" i="1" s="1"/>
  <c r="G34" i="1" l="1"/>
  <c r="H34" i="1" s="1"/>
  <c r="I34" i="1" l="1"/>
  <c r="K34" i="1" l="1"/>
  <c r="L34" i="1" s="1"/>
  <c r="C35" i="1" s="1"/>
  <c r="G35" i="1" l="1"/>
  <c r="H35" i="1" s="1"/>
  <c r="I35" i="1" l="1"/>
  <c r="K35" i="1" l="1"/>
  <c r="L35" i="1" s="1"/>
  <c r="C36" i="1" s="1"/>
  <c r="G36" i="1" l="1"/>
  <c r="H36" i="1" l="1"/>
  <c r="G37" i="1"/>
  <c r="I5" i="1" s="1"/>
  <c r="I36" i="1"/>
  <c r="K36" i="1" l="1"/>
  <c r="K37" i="1" s="1"/>
  <c r="I3" i="1" s="1"/>
  <c r="I37" i="1"/>
  <c r="I6" i="1" s="1"/>
  <c r="L36" i="1" l="1"/>
  <c r="H37" i="1" s="1"/>
  <c r="I7" i="1" s="1"/>
  <c r="I8" i="1" s="1"/>
  <c r="J8" i="1"/>
  <c r="B1" i="3" l="1"/>
</calcChain>
</file>

<file path=xl/sharedStrings.xml><?xml version="1.0" encoding="utf-8"?>
<sst xmlns="http://schemas.openxmlformats.org/spreadsheetml/2006/main" count="177" uniqueCount="169">
  <si>
    <t>Selling price</t>
  </si>
  <si>
    <t>per unit</t>
  </si>
  <si>
    <t>Inventory holding cost</t>
  </si>
  <si>
    <t>Period</t>
  </si>
  <si>
    <t xml:space="preserve">Demand realization </t>
  </si>
  <si>
    <t>Sales</t>
  </si>
  <si>
    <t>Ending inventory</t>
  </si>
  <si>
    <t>Revenue:</t>
  </si>
  <si>
    <t>Holding cost:</t>
  </si>
  <si>
    <t>Profit:</t>
  </si>
  <si>
    <t>Input Parameters</t>
  </si>
  <si>
    <t>per unit per period</t>
  </si>
  <si>
    <t>Profit Calculation</t>
  </si>
  <si>
    <t>The current period is</t>
  </si>
  <si>
    <t>Creative Matrix Game</t>
  </si>
  <si>
    <t>Remanu. cost - good quality</t>
  </si>
  <si>
    <t>Remanu. cost - bad quality</t>
  </si>
  <si>
    <t>Initial inventory of remanu. units</t>
  </si>
  <si>
    <t>Initial inv. + remanu. quantity</t>
  </si>
  <si>
    <t>Month</t>
  </si>
  <si>
    <t>Return quantity -good quality</t>
  </si>
  <si>
    <t>Return quantity -bad quality</t>
  </si>
  <si>
    <t>Demand</t>
  </si>
  <si>
    <t>Enter remanufacturing quantities and click "Next" button</t>
  </si>
  <si>
    <t>Salvage value</t>
  </si>
  <si>
    <t>Salvage revenue:</t>
  </si>
  <si>
    <t>Remanu. cost - good quality:</t>
  </si>
  <si>
    <t>Remanu. cost - bad quality:</t>
  </si>
  <si>
    <t>Return quanity - good quality</t>
  </si>
  <si>
    <t>Return quantity - bad quality</t>
  </si>
  <si>
    <t>Remanu. quantity - good quality</t>
  </si>
  <si>
    <t>Remanu. quantity - bad quality</t>
  </si>
  <si>
    <t>Salvage quanity</t>
  </si>
  <si>
    <t>Demand Data of Similar Product</t>
  </si>
  <si>
    <t>Q</t>
  </si>
  <si>
    <t>UNUSED</t>
  </si>
  <si>
    <t>Method + #Operators(Legacy)</t>
  </si>
  <si>
    <t>Mutation Rate (Legacy)</t>
  </si>
  <si>
    <t>Crossover Rate (Legacy)</t>
  </si>
  <si>
    <t>Description</t>
  </si>
  <si>
    <t># Time Blocks/All Groups Must Be Present</t>
  </si>
  <si>
    <t>Constraint Range</t>
  </si>
  <si>
    <t>#Ranges</t>
  </si>
  <si>
    <t>Adj. Range</t>
  </si>
  <si>
    <t>Min Val or Range</t>
  </si>
  <si>
    <t>Max Val Or Range</t>
  </si>
  <si>
    <t>Flags</t>
  </si>
  <si>
    <t>Type (Hard/Soft)</t>
  </si>
  <si>
    <t>Entry Mode</t>
  </si>
  <si>
    <t>Formula</t>
  </si>
  <si>
    <t>Left Val Or Range</t>
  </si>
  <si>
    <t>Left Operator</t>
  </si>
  <si>
    <t>Constrained Cells</t>
  </si>
  <si>
    <t>Right Operator</t>
  </si>
  <si>
    <t>Right Val Or Range</t>
  </si>
  <si>
    <t>Penalty Function</t>
  </si>
  <si>
    <t>RO Eval Time (Iter/Sim)</t>
  </si>
  <si>
    <t>RO Statistic to Constrain</t>
  </si>
  <si>
    <t>RO Statistic Parameter</t>
  </si>
  <si>
    <t>Precision (added 6.0)</t>
  </si>
  <si>
    <t>RO Auto Eval Time (added 6.0)</t>
  </si>
  <si>
    <t>Is Disabled</t>
  </si>
  <si>
    <t>Use for EF</t>
  </si>
  <si>
    <t>EF Settings Have Been Defined</t>
  </si>
  <si>
    <t>EF Location of Constraining Values</t>
  </si>
  <si>
    <t>EF Min Constraining Value</t>
  </si>
  <si>
    <t>EF Max Constraining Value</t>
  </si>
  <si>
    <t>EF # of Constraining Values Between Min and Max</t>
  </si>
  <si>
    <t>EF Range with Constraining Values</t>
  </si>
  <si>
    <t>EF # of Constraining Values Listed</t>
  </si>
  <si>
    <t>Formula Conversion Cell (not used in v5)</t>
  </si>
  <si>
    <t>Number Formatting Cell (introduced in v5)</t>
  </si>
  <si>
    <t>Out Stats</t>
  </si>
  <si>
    <t>Mean</t>
  </si>
  <si>
    <t>Std. Dev.</t>
  </si>
  <si>
    <t>Min</t>
  </si>
  <si>
    <t>Max</t>
  </si>
  <si>
    <t>RISKOpt Tag</t>
  </si>
  <si>
    <t># Chromosomes</t>
  </si>
  <si>
    <t># Constraints</t>
  </si>
  <si>
    <t>Compatibility with Old Versions (4 trips pre-v5 versions)</t>
  </si>
  <si>
    <t>Creation Version</t>
  </si>
  <si>
    <t>Required Version</t>
  </si>
  <si>
    <t>Recommended Version</t>
  </si>
  <si>
    <t>Last Modified by Version</t>
  </si>
  <si>
    <t>Genetic Algorithm - Discrete Variable Warning Shown</t>
  </si>
  <si>
    <t>ColorOptimizationCells Called</t>
  </si>
  <si>
    <t>Constraint Solver, number of Latin Hypercube stratifications, for reproducing results with Actual Convergence</t>
  </si>
  <si>
    <t>Constraint Solver, total of adjustable cell values, to only pass number of stratifications if model hasn't changed</t>
  </si>
  <si>
    <t>Goal (Cell, Statistic, Parameter), E1: RO Formula to Optimize</t>
  </si>
  <si>
    <t>Goal (Type, Target Value)</t>
  </si>
  <si>
    <t>VERSION 6.0 SETTINGS</t>
  </si>
  <si>
    <t>Optimization Engine</t>
  </si>
  <si>
    <t>Mutation Rate (becoming a single settings for all adjustable cell groups)</t>
  </si>
  <si>
    <t>Crossover Rate (becoming a single settings for all adjustable cell groups)</t>
  </si>
  <si>
    <t>Genetic Operators (becoming a single settings for all adjustable cell groups)</t>
  </si>
  <si>
    <t>Stopping on Projected Convergence (added in version 6; other simulation runtime settings got moved to @RISK)</t>
  </si>
  <si>
    <t>Population Size</t>
  </si>
  <si>
    <t>Seed (Is Auto, Value)</t>
  </si>
  <si>
    <t>Same Seed Each Simulation (this was used in RISKOptimizer version 5 and earlier)</t>
  </si>
  <si>
    <t>Sampling Type (this was used in RISKOptimizer version 5 and earlier)</t>
  </si>
  <si>
    <t>Stop on Errors (before v5: Pause on Errors)</t>
  </si>
  <si>
    <t>Trial Count Stopping (enabled, trial count)</t>
  </si>
  <si>
    <t>Formula Stopping (enabled, formula)</t>
  </si>
  <si>
    <t>Timespan Stopping (enabled, trial count)</t>
  </si>
  <si>
    <t>Progress Stopping (enabled, trial count, max % change, change is percent)</t>
  </si>
  <si>
    <t>EF Stopping Conditions</t>
  </si>
  <si>
    <t>EF Stop on Trials</t>
  </si>
  <si>
    <t>EF Trial Count</t>
  </si>
  <si>
    <t>EF Stop on Time</t>
  </si>
  <si>
    <t>EF Time Duration</t>
  </si>
  <si>
    <t>EF Time Unit</t>
  </si>
  <si>
    <t>EF Stop on Progress</t>
  </si>
  <si>
    <t>EF Trials (Progress)</t>
  </si>
  <si>
    <t>EF Max. Change (Progress)</t>
  </si>
  <si>
    <t>EF Max. Change is Percent (Progress)</t>
  </si>
  <si>
    <t>Sim. Stopping Mode, Tolerance (legacy settings used in v5 and earlier)</t>
  </si>
  <si>
    <t>#Iterations - Sim Stopping (legacy setting used in v5 and earlier))</t>
  </si>
  <si>
    <t>Keep Trial-by-Trial Log (if cell has anything other than False consider True, since Evolver 4 didn't have this setting); this setting no longer used staring with version 6</t>
  </si>
  <si>
    <t>Minimize Excel on Startup</t>
  </si>
  <si>
    <t>Show Excel Recalcs (replaces "Update Display" used before v5)</t>
  </si>
  <si>
    <t>Ev4/RO1: Graph Progress</t>
  </si>
  <si>
    <t>Ev4/RO1: Update Display (replaced by Show Excel Recalcs in v5)</t>
  </si>
  <si>
    <t>MACROS</t>
  </si>
  <si>
    <t>Start (enabled, macro)</t>
  </si>
  <si>
    <t>Before Recalc (enabled, macro), starting with v6 RISKOptimizer uses corresponding @RISK macro</t>
  </si>
  <si>
    <t>After Recalc (enabled, macro), starting with v6 RISKOptimizer uses corresponding @RISK macro</t>
  </si>
  <si>
    <t>After Storage (enabled, macro)</t>
  </si>
  <si>
    <t>Finish (enabled, macro)</t>
  </si>
  <si>
    <t>Macro Before Simulation (enabled, macro), starting with v6, this is legacy setting</t>
  </si>
  <si>
    <t>Macro After Simulation (enabled, macro), starting with v6, this is legacy setting</t>
  </si>
  <si>
    <t>EFFICIENT FRONTIER</t>
  </si>
  <si>
    <t>Analysis Type (Standard vs. Efficient Frontier)</t>
  </si>
  <si>
    <t>EF Item to Constrain</t>
  </si>
  <si>
    <t>EF Constraint Minimum</t>
  </si>
  <si>
    <t>EF Constraint Maximum</t>
  </si>
  <si>
    <t>EF Formula for Dtools</t>
  </si>
  <si>
    <t>1,1,1,1,1,1,1,1,1,1,1</t>
  </si>
  <si>
    <t>7.5.0</t>
  </si>
  <si>
    <t>1.0.0</t>
  </si>
  <si>
    <t>DEFAULT PARENT SELECTION</t>
  </si>
  <si>
    <t>DEFAULT MUTATION</t>
  </si>
  <si>
    <t>DEFAULT CROSSOVER</t>
  </si>
  <si>
    <t>DEFAULT BACKTRACK</t>
  </si>
  <si>
    <t>ARITHMETIC CROSSOVER</t>
  </si>
  <si>
    <t>HEURISTIC CROSSOVER</t>
  </si>
  <si>
    <t>CAUCHY MUTATION</t>
  </si>
  <si>
    <t>BOUNDARY MUTATION</t>
  </si>
  <si>
    <t>NON-UNIFORM MUTATION</t>
  </si>
  <si>
    <t>LINEAR</t>
  </si>
  <si>
    <t>LOCAL SEARCH</t>
  </si>
  <si>
    <t>RECIPE_x0001_11</t>
  </si>
  <si>
    <t/>
  </si>
  <si>
    <t>6.0.0</t>
  </si>
  <si>
    <t>True,False,False</t>
  </si>
  <si>
    <t>Std. deviation</t>
  </si>
  <si>
    <t>Good quality-Year 1</t>
  </si>
  <si>
    <t>Good quality-Year 2</t>
  </si>
  <si>
    <t>Bad quality-Year 1</t>
  </si>
  <si>
    <t>Bad quality-Year 2</t>
  </si>
  <si>
    <t>The demand distribution is normally distributed and identical over the 24 months.</t>
  </si>
  <si>
    <t>Similarly, we calculated mean and standard deviation separately for 1st and 2nd years for return quantity of good quality and bad quality categories.         </t>
  </si>
  <si>
    <t>The optimal base stock level we obtained using Risk Optimizer is 21132.</t>
  </si>
  <si>
    <t>STRATEGY</t>
  </si>
  <si>
    <t>So we calculated the mean and standard deviation for demand for each month.</t>
  </si>
  <si>
    <t xml:space="preserve">Using these conditions, we ran Risk optimizer using the number of trials and iterations as 1000 each to obtain the optimal Base stock level. </t>
  </si>
  <si>
    <t>Random demand and return quantities were then generated for a 24-month period. Since production cost for good quality category is less than that for bad quality category, we always preferred to remanufacture good quality units.</t>
  </si>
  <si>
    <t>However, after remanufacturing all the good quality units, if the sum of inventory and good quality units doesn't meet a base stock level, we remanufacture bad quality units also to meet the base stock level. </t>
  </si>
  <si>
    <t>So our strategy will be to remanufacture all good quality units and if it doesn't meet the base stock level, we will remanufacture the bad quality units as well to meet the optimal base stock 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</si>
</sst>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
  </numFmts>
  <fonts count="11" x14ac:knownFonts="1">
    <font>
      <sz val="11"/>
      <color theme="1"/>
      <name val="Calibri"/>
      <family val="2"/>
      <scheme val="minor"/>
    </font>
    <font>
      <b/>
      <sz val="12"/>
      <color rgb="FF0000FF"/>
      <name val="Calibri"/>
      <family val="2"/>
      <scheme val="minor"/>
    </font>
    <font>
      <sz val="11"/>
      <color rgb="FF0000CC"/>
      <name val="Calibri"/>
      <family val="2"/>
      <scheme val="minor"/>
    </font>
    <font>
      <sz val="16"/>
      <color rgb="FFC00000"/>
      <name val="Franklin Gothic Demi"/>
      <family val="2"/>
    </font>
    <font>
      <b/>
      <sz val="11"/>
      <color rgb="FFC00000"/>
      <name val="Calibri"/>
      <family val="2"/>
      <scheme val="minor"/>
    </font>
    <font>
      <sz val="11"/>
      <color theme="0"/>
      <name val="Calibri"/>
      <family val="2"/>
      <scheme val="minor"/>
    </font>
    <font>
      <b/>
      <sz val="11"/>
      <color theme="1"/>
      <name val="Calibri"/>
      <family val="2"/>
      <scheme val="minor"/>
    </font>
    <font>
      <sz val="11"/>
      <name val="Calibri"/>
      <family val="2"/>
      <scheme val="minor"/>
    </font>
    <font>
      <b/>
      <sz val="16"/>
      <color theme="1"/>
      <name val="Calibri"/>
      <family val="2"/>
      <scheme val="minor"/>
    </font>
    <font>
      <sz val="14"/>
      <color rgb="FF000000"/>
      <name val="Comic Sans MS"/>
      <family val="4"/>
    </font>
    <font>
      <sz val="14"/>
      <color theme="1"/>
      <name val="Comic Sans MS"/>
      <family val="4"/>
    </font>
  </fonts>
  <fills count="7">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FF00FF"/>
        <bgColor indexed="64"/>
      </patternFill>
    </fill>
    <fill>
      <patternFill patternType="solid">
        <fgColor rgb="FF00FF00"/>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bottom style="medium">
        <color indexed="64"/>
      </bottom>
      <diagonal/>
    </border>
    <border>
      <left/>
      <right/>
      <top style="thick">
        <color indexed="64"/>
      </top>
      <bottom/>
      <diagonal/>
    </border>
  </borders>
  <cellStyleXfs count="1">
    <xf numFmtId="0" fontId="0" fillId="0" borderId="0"/>
  </cellStyleXfs>
  <cellXfs count="64">
    <xf numFmtId="0" fontId="0" fillId="0" borderId="0" xfId="0"/>
    <xf numFmtId="0" fontId="0" fillId="0" borderId="0" xfId="0" applyFill="1" applyAlignment="1"/>
    <xf numFmtId="0" fontId="1" fillId="0" borderId="0" xfId="0" applyFont="1" applyAlignment="1" applyProtection="1">
      <alignment horizontal="left" vertical="center"/>
    </xf>
    <xf numFmtId="0" fontId="0" fillId="0" borderId="2" xfId="0" applyBorder="1"/>
    <xf numFmtId="0" fontId="0" fillId="0" borderId="3" xfId="0" applyBorder="1"/>
    <xf numFmtId="0" fontId="0" fillId="0" borderId="1" xfId="0" applyBorder="1" applyAlignment="1">
      <alignment horizontal="center"/>
    </xf>
    <xf numFmtId="0" fontId="2" fillId="2" borderId="1" xfId="0" applyFont="1" applyFill="1" applyBorder="1" applyAlignment="1">
      <alignment horizontal="center"/>
    </xf>
    <xf numFmtId="0" fontId="0" fillId="0" borderId="0" xfId="0" applyBorder="1"/>
    <xf numFmtId="0" fontId="0" fillId="0" borderId="4" xfId="0" applyBorder="1" applyAlignment="1">
      <alignment horizont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7" xfId="0" applyBorder="1"/>
    <xf numFmtId="0" fontId="0" fillId="0" borderId="9" xfId="0" applyBorder="1"/>
    <xf numFmtId="0" fontId="0" fillId="0" borderId="0" xfId="0" applyAlignment="1">
      <alignment horizontal="center"/>
    </xf>
    <xf numFmtId="1" fontId="0" fillId="0" borderId="0" xfId="0" applyNumberFormat="1"/>
    <xf numFmtId="0" fontId="0" fillId="0" borderId="0" xfId="0" applyFill="1" applyAlignment="1">
      <alignment horizontal="center"/>
    </xf>
    <xf numFmtId="0" fontId="0" fillId="0" borderId="3" xfId="0" applyBorder="1" applyAlignment="1">
      <alignment horizontal="center"/>
    </xf>
    <xf numFmtId="0" fontId="0" fillId="0" borderId="6" xfId="0" applyBorder="1" applyAlignment="1">
      <alignment horizontal="center"/>
    </xf>
    <xf numFmtId="0" fontId="4" fillId="0" borderId="0" xfId="0" applyFont="1" applyBorder="1" applyAlignment="1">
      <alignment horizontal="center"/>
    </xf>
    <xf numFmtId="164" fontId="2" fillId="2" borderId="3" xfId="0" applyNumberFormat="1" applyFont="1" applyFill="1" applyBorder="1" applyAlignment="1"/>
    <xf numFmtId="164" fontId="2" fillId="2" borderId="1" xfId="0" applyNumberFormat="1" applyFont="1" applyFill="1" applyBorder="1" applyAlignment="1"/>
    <xf numFmtId="0" fontId="0" fillId="0" borderId="0" xfId="0" applyAlignment="1"/>
    <xf numFmtId="0" fontId="4" fillId="0" borderId="1" xfId="0" applyFont="1" applyBorder="1" applyAlignment="1"/>
    <xf numFmtId="0" fontId="0" fillId="0" borderId="2" xfId="0" applyBorder="1" applyAlignment="1"/>
    <xf numFmtId="0" fontId="0" fillId="0" borderId="4" xfId="0" applyBorder="1" applyAlignment="1"/>
    <xf numFmtId="0" fontId="0" fillId="0" borderId="1" xfId="0" applyBorder="1" applyAlignment="1"/>
    <xf numFmtId="0" fontId="3" fillId="0" borderId="0" xfId="0" applyFont="1" applyAlignment="1" applyProtection="1">
      <alignment vertical="center"/>
    </xf>
    <xf numFmtId="0" fontId="1" fillId="0" borderId="0" xfId="0" applyFont="1" applyAlignment="1" applyProtection="1">
      <alignment vertical="center"/>
    </xf>
    <xf numFmtId="0" fontId="0" fillId="0" borderId="0" xfId="0" applyFill="1" applyBorder="1" applyAlignment="1"/>
    <xf numFmtId="0" fontId="0" fillId="0" borderId="10" xfId="0" applyBorder="1"/>
    <xf numFmtId="0" fontId="0" fillId="0" borderId="8" xfId="0" applyBorder="1"/>
    <xf numFmtId="0" fontId="0" fillId="0" borderId="3" xfId="0" applyFill="1" applyBorder="1"/>
    <xf numFmtId="0" fontId="0" fillId="0" borderId="2" xfId="0" applyFill="1" applyBorder="1" applyAlignment="1"/>
    <xf numFmtId="0" fontId="0" fillId="0" borderId="2" xfId="0" applyFill="1" applyBorder="1"/>
    <xf numFmtId="164" fontId="0" fillId="0" borderId="1" xfId="0" applyNumberFormat="1" applyBorder="1"/>
    <xf numFmtId="0" fontId="0" fillId="0" borderId="1" xfId="0" applyFont="1" applyBorder="1" applyAlignment="1">
      <alignment horizontal="center"/>
    </xf>
    <xf numFmtId="0" fontId="5" fillId="0" borderId="0" xfId="0" applyFont="1"/>
    <xf numFmtId="164" fontId="0" fillId="0" borderId="3" xfId="0" applyNumberFormat="1" applyBorder="1"/>
    <xf numFmtId="0" fontId="0" fillId="3" borderId="1" xfId="0" applyFill="1" applyBorder="1" applyAlignment="1" applyProtection="1">
      <alignment horizontal="center"/>
    </xf>
    <xf numFmtId="0" fontId="4" fillId="0" borderId="1" xfId="0" applyFont="1" applyBorder="1" applyAlignment="1">
      <alignment horizontal="center"/>
    </xf>
    <xf numFmtId="0" fontId="7" fillId="0" borderId="1" xfId="0" applyFont="1" applyBorder="1" applyAlignment="1">
      <alignment horizontal="center"/>
    </xf>
    <xf numFmtId="0" fontId="7" fillId="0" borderId="1" xfId="0" applyFont="1" applyFill="1" applyBorder="1" applyAlignment="1" applyProtection="1">
      <alignment horizontal="center"/>
    </xf>
    <xf numFmtId="0" fontId="7" fillId="0" borderId="1" xfId="0" applyFont="1" applyFill="1" applyBorder="1" applyAlignment="1">
      <alignment horizontal="center"/>
    </xf>
    <xf numFmtId="0" fontId="7" fillId="0" borderId="1" xfId="0" applyFont="1" applyBorder="1" applyAlignment="1" applyProtection="1">
      <alignment horizontal="center"/>
    </xf>
    <xf numFmtId="0" fontId="7" fillId="0" borderId="5" xfId="0" applyFont="1" applyBorder="1" applyAlignment="1">
      <alignment horizontal="center"/>
    </xf>
    <xf numFmtId="0" fontId="7" fillId="0" borderId="2" xfId="0" applyFont="1" applyBorder="1" applyAlignment="1">
      <alignment horizontal="center"/>
    </xf>
    <xf numFmtId="0" fontId="7" fillId="0" borderId="11" xfId="0" applyFont="1" applyBorder="1" applyAlignment="1">
      <alignment horizontal="center"/>
    </xf>
    <xf numFmtId="0" fontId="0" fillId="0" borderId="12" xfId="0" applyBorder="1" applyAlignment="1">
      <alignment horizontal="center" vertical="center" wrapText="1"/>
    </xf>
    <xf numFmtId="0" fontId="6" fillId="0" borderId="12" xfId="0" applyFont="1" applyBorder="1"/>
    <xf numFmtId="0" fontId="0" fillId="0" borderId="12" xfId="0" applyBorder="1"/>
    <xf numFmtId="0" fontId="0" fillId="0" borderId="12" xfId="0" applyBorder="1" applyAlignment="1">
      <alignment horizontal="center"/>
    </xf>
    <xf numFmtId="0" fontId="0" fillId="0" borderId="0" xfId="0" applyAlignment="1">
      <alignment horizontal="left"/>
    </xf>
    <xf numFmtId="0" fontId="0" fillId="0" borderId="13" xfId="0" applyBorder="1" applyAlignment="1">
      <alignment horizontal="left"/>
    </xf>
    <xf numFmtId="0" fontId="0" fillId="4" borderId="0" xfId="0" applyFill="1" applyAlignment="1">
      <alignment horizontal="left"/>
    </xf>
    <xf numFmtId="0" fontId="0" fillId="5" borderId="0" xfId="0" applyFill="1" applyAlignment="1">
      <alignment horizontal="left"/>
    </xf>
    <xf numFmtId="0" fontId="0" fillId="6" borderId="0" xfId="0" applyFill="1" applyAlignment="1">
      <alignment horizontal="left"/>
    </xf>
    <xf numFmtId="0" fontId="0" fillId="4" borderId="0" xfId="0" quotePrefix="1" applyFill="1" applyAlignment="1">
      <alignment horizontal="left"/>
    </xf>
    <xf numFmtId="0" fontId="0" fillId="0" borderId="0" xfId="0" quotePrefix="1" applyAlignment="1">
      <alignment horizontal="left"/>
    </xf>
    <xf numFmtId="0" fontId="0" fillId="4" borderId="0" xfId="0" applyNumberFormat="1" applyFill="1" applyAlignment="1">
      <alignment horizontal="left"/>
    </xf>
    <xf numFmtId="0" fontId="0" fillId="0" borderId="0" xfId="0" applyAlignment="1">
      <alignment vertical="center"/>
    </xf>
    <xf numFmtId="0" fontId="9" fillId="0" borderId="0" xfId="0" applyFont="1" applyAlignment="1">
      <alignment vertical="center" wrapText="1"/>
    </xf>
    <xf numFmtId="0" fontId="10" fillId="0" borderId="0" xfId="0" applyFont="1" applyAlignment="1">
      <alignment vertical="center" wrapText="1"/>
    </xf>
    <xf numFmtId="0" fontId="8" fillId="0" borderId="0" xfId="0" applyFont="1" applyFill="1" applyAlignment="1">
      <alignment vertical="center"/>
    </xf>
    <xf numFmtId="0" fontId="8" fillId="6" borderId="1" xfId="0" applyFont="1" applyFill="1" applyBorder="1" applyAlignment="1">
      <alignment vertical="center"/>
    </xf>
  </cellXfs>
  <cellStyles count="1">
    <cellStyle name="Normal" xfId="0" builtinId="0"/>
  </cellStyles>
  <dxfs count="0"/>
  <tableStyles count="0" defaultTableStyle="TableStyleMedium9" defaultPivotStyle="PivotStyleLight16"/>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L33"/>
  <sheetViews>
    <sheetView zoomScaleNormal="100" workbookViewId="0">
      <selection activeCell="J17" sqref="J17"/>
    </sheetView>
  </sheetViews>
  <sheetFormatPr defaultRowHeight="15" x14ac:dyDescent="0.25"/>
  <cols>
    <col min="1" max="1" width="3.42578125" customWidth="1"/>
    <col min="3" max="3" width="15.42578125" customWidth="1"/>
    <col min="4" max="4" width="14.7109375" customWidth="1"/>
    <col min="5" max="5" width="11.7109375" customWidth="1"/>
    <col min="7" max="7" width="14.7109375" customWidth="1"/>
    <col min="9" max="10" width="18.5703125" customWidth="1"/>
    <col min="11" max="11" width="17" customWidth="1"/>
    <col min="12" max="12" width="17.7109375" customWidth="1"/>
  </cols>
  <sheetData>
    <row r="2" spans="2:12" ht="15.75" thickBot="1" x14ac:dyDescent="0.3">
      <c r="B2" s="48" t="s">
        <v>33</v>
      </c>
      <c r="C2" s="49"/>
      <c r="D2" s="49"/>
      <c r="E2" s="49"/>
    </row>
    <row r="3" spans="2:12" ht="27" customHeight="1" thickBot="1" x14ac:dyDescent="0.3">
      <c r="B3" s="47" t="s">
        <v>19</v>
      </c>
      <c r="C3" s="47" t="s">
        <v>20</v>
      </c>
      <c r="D3" s="47" t="s">
        <v>21</v>
      </c>
      <c r="E3" s="47" t="s">
        <v>22</v>
      </c>
    </row>
    <row r="4" spans="2:12" x14ac:dyDescent="0.25">
      <c r="B4" s="13">
        <v>1</v>
      </c>
      <c r="C4" s="13">
        <v>26487</v>
      </c>
      <c r="D4" s="13">
        <v>9170</v>
      </c>
      <c r="E4" s="13">
        <v>20476</v>
      </c>
    </row>
    <row r="5" spans="2:12" x14ac:dyDescent="0.25">
      <c r="B5" s="13">
        <v>2</v>
      </c>
      <c r="C5" s="13">
        <v>15790</v>
      </c>
      <c r="D5" s="13">
        <v>7762</v>
      </c>
      <c r="E5" s="13">
        <v>18029</v>
      </c>
      <c r="H5" t="s">
        <v>22</v>
      </c>
      <c r="I5" t="s">
        <v>156</v>
      </c>
      <c r="J5" t="s">
        <v>157</v>
      </c>
      <c r="K5" t="s">
        <v>158</v>
      </c>
      <c r="L5" t="s">
        <v>159</v>
      </c>
    </row>
    <row r="6" spans="2:12" x14ac:dyDescent="0.25">
      <c r="B6" s="13">
        <v>3</v>
      </c>
      <c r="C6" s="13">
        <v>23100</v>
      </c>
      <c r="D6" s="13">
        <v>11811</v>
      </c>
      <c r="E6" s="13">
        <v>11402</v>
      </c>
      <c r="G6" t="s">
        <v>73</v>
      </c>
      <c r="H6">
        <f>AVERAGE(E4:E27)</f>
        <v>19965.166666666668</v>
      </c>
      <c r="I6">
        <f>AVERAGE(C4:C15)</f>
        <v>18379.166666666668</v>
      </c>
      <c r="J6">
        <f>AVERAGE(C16:C27)</f>
        <v>10067.25</v>
      </c>
      <c r="K6">
        <f>AVERAGE(D4:D15)</f>
        <v>10097.833333333334</v>
      </c>
      <c r="L6">
        <f>AVERAGE(D16:D27)</f>
        <v>18325.666666666668</v>
      </c>
    </row>
    <row r="7" spans="2:12" x14ac:dyDescent="0.25">
      <c r="B7" s="13">
        <v>4</v>
      </c>
      <c r="C7" s="13">
        <v>8974</v>
      </c>
      <c r="D7" s="13">
        <v>7818</v>
      </c>
      <c r="E7" s="13">
        <v>18736</v>
      </c>
      <c r="G7" t="s">
        <v>155</v>
      </c>
      <c r="H7">
        <f>_xlfn.STDEV.S(E4:E27)</f>
        <v>5081.0722906871179</v>
      </c>
      <c r="I7">
        <f>_xlfn.STDEV.S(C4:C15)</f>
        <v>6002.9533009455708</v>
      </c>
      <c r="J7">
        <f>_xlfn.STDEV.S(C16:C27)</f>
        <v>2990.6582165439463</v>
      </c>
      <c r="K7">
        <f>_xlfn.STDEV.S(D4:D15)</f>
        <v>3004.8705261271884</v>
      </c>
      <c r="L7">
        <f>_xlfn.STDEV.S(D16:D27)</f>
        <v>6077.7823756745847</v>
      </c>
    </row>
    <row r="8" spans="2:12" x14ac:dyDescent="0.25">
      <c r="B8" s="13">
        <v>5</v>
      </c>
      <c r="C8" s="13">
        <v>26773</v>
      </c>
      <c r="D8" s="13">
        <v>15900</v>
      </c>
      <c r="E8" s="13">
        <v>32603</v>
      </c>
    </row>
    <row r="9" spans="2:12" x14ac:dyDescent="0.25">
      <c r="B9" s="13">
        <v>6</v>
      </c>
      <c r="C9" s="13">
        <v>22440</v>
      </c>
      <c r="D9" s="13">
        <v>12790</v>
      </c>
      <c r="E9" s="13">
        <v>20749</v>
      </c>
    </row>
    <row r="10" spans="2:12" x14ac:dyDescent="0.25">
      <c r="B10" s="13">
        <v>7</v>
      </c>
      <c r="C10" s="13">
        <v>20622</v>
      </c>
      <c r="D10" s="13">
        <v>6698</v>
      </c>
      <c r="E10" s="13">
        <v>15498</v>
      </c>
    </row>
    <row r="11" spans="2:12" x14ac:dyDescent="0.25">
      <c r="B11" s="13">
        <v>8</v>
      </c>
      <c r="C11" s="13">
        <v>12193</v>
      </c>
      <c r="D11" s="13">
        <v>11441</v>
      </c>
      <c r="E11" s="13">
        <v>19383</v>
      </c>
    </row>
    <row r="12" spans="2:12" x14ac:dyDescent="0.25">
      <c r="B12" s="13">
        <v>9</v>
      </c>
      <c r="C12" s="13">
        <v>19789</v>
      </c>
      <c r="D12" s="13">
        <v>6818</v>
      </c>
      <c r="E12" s="13">
        <v>19817</v>
      </c>
    </row>
    <row r="13" spans="2:12" x14ac:dyDescent="0.25">
      <c r="B13" s="13">
        <v>10</v>
      </c>
      <c r="C13" s="13">
        <v>16762</v>
      </c>
      <c r="D13" s="13">
        <v>11381</v>
      </c>
      <c r="E13" s="13">
        <v>22103</v>
      </c>
    </row>
    <row r="14" spans="2:12" x14ac:dyDescent="0.25">
      <c r="B14" s="13">
        <v>11</v>
      </c>
      <c r="C14" s="13">
        <v>18088</v>
      </c>
      <c r="D14" s="13">
        <v>6792</v>
      </c>
      <c r="E14" s="13">
        <v>12636</v>
      </c>
    </row>
    <row r="15" spans="2:12" x14ac:dyDescent="0.25">
      <c r="B15" s="13">
        <v>12</v>
      </c>
      <c r="C15" s="13">
        <v>9532</v>
      </c>
      <c r="D15" s="13">
        <v>12793</v>
      </c>
      <c r="E15" s="13">
        <v>26021</v>
      </c>
    </row>
    <row r="16" spans="2:12" x14ac:dyDescent="0.25">
      <c r="B16" s="13">
        <v>13</v>
      </c>
      <c r="C16" s="13">
        <v>10292</v>
      </c>
      <c r="D16" s="13">
        <v>7577</v>
      </c>
      <c r="E16" s="13">
        <v>21779</v>
      </c>
    </row>
    <row r="17" spans="2:5" x14ac:dyDescent="0.25">
      <c r="B17" s="13">
        <v>14</v>
      </c>
      <c r="C17" s="13">
        <v>8361</v>
      </c>
      <c r="D17" s="13">
        <v>14282</v>
      </c>
      <c r="E17" s="13">
        <v>26954</v>
      </c>
    </row>
    <row r="18" spans="2:5" x14ac:dyDescent="0.25">
      <c r="B18" s="13">
        <v>15</v>
      </c>
      <c r="C18" s="13">
        <v>7842</v>
      </c>
      <c r="D18" s="13">
        <v>21166</v>
      </c>
      <c r="E18" s="13">
        <v>25023</v>
      </c>
    </row>
    <row r="19" spans="2:5" x14ac:dyDescent="0.25">
      <c r="B19" s="13">
        <v>16</v>
      </c>
      <c r="C19" s="13">
        <v>12874</v>
      </c>
      <c r="D19" s="13">
        <v>19929</v>
      </c>
      <c r="E19" s="13">
        <v>16546</v>
      </c>
    </row>
    <row r="20" spans="2:5" x14ac:dyDescent="0.25">
      <c r="B20" s="13">
        <v>17</v>
      </c>
      <c r="C20" s="13">
        <v>9069</v>
      </c>
      <c r="D20" s="13">
        <v>23564</v>
      </c>
      <c r="E20" s="13">
        <v>12929</v>
      </c>
    </row>
    <row r="21" spans="2:5" x14ac:dyDescent="0.25">
      <c r="B21" s="13">
        <v>18</v>
      </c>
      <c r="C21" s="13">
        <v>10774</v>
      </c>
      <c r="D21" s="13">
        <v>17770</v>
      </c>
      <c r="E21" s="13">
        <v>15084</v>
      </c>
    </row>
    <row r="22" spans="2:5" x14ac:dyDescent="0.25">
      <c r="B22" s="13">
        <v>19</v>
      </c>
      <c r="C22" s="13">
        <v>15589</v>
      </c>
      <c r="D22" s="13">
        <v>14341</v>
      </c>
      <c r="E22" s="13">
        <v>22777</v>
      </c>
    </row>
    <row r="23" spans="2:5" x14ac:dyDescent="0.25">
      <c r="B23" s="13">
        <v>20</v>
      </c>
      <c r="C23" s="13">
        <v>7433</v>
      </c>
      <c r="D23" s="13">
        <v>18417</v>
      </c>
      <c r="E23" s="13">
        <v>20125</v>
      </c>
    </row>
    <row r="24" spans="2:5" x14ac:dyDescent="0.25">
      <c r="B24" s="13">
        <v>21</v>
      </c>
      <c r="C24" s="13">
        <v>9556</v>
      </c>
      <c r="D24" s="13">
        <v>14621</v>
      </c>
      <c r="E24" s="13">
        <v>17224</v>
      </c>
    </row>
    <row r="25" spans="2:5" x14ac:dyDescent="0.25">
      <c r="B25" s="13">
        <v>22</v>
      </c>
      <c r="C25" s="13">
        <v>6620</v>
      </c>
      <c r="D25" s="13">
        <v>13236</v>
      </c>
      <c r="E25" s="13">
        <v>19254</v>
      </c>
    </row>
    <row r="26" spans="2:5" x14ac:dyDescent="0.25">
      <c r="B26" s="13">
        <v>23</v>
      </c>
      <c r="C26" s="13">
        <v>7393</v>
      </c>
      <c r="D26" s="13">
        <v>29964</v>
      </c>
      <c r="E26" s="13">
        <v>16894</v>
      </c>
    </row>
    <row r="27" spans="2:5" ht="15.75" thickBot="1" x14ac:dyDescent="0.3">
      <c r="B27" s="50">
        <v>24</v>
      </c>
      <c r="C27" s="50">
        <v>15004</v>
      </c>
      <c r="D27" s="50">
        <v>25041</v>
      </c>
      <c r="E27" s="50">
        <v>27122</v>
      </c>
    </row>
    <row r="29" spans="2:5" x14ac:dyDescent="0.25">
      <c r="C29" s="14"/>
      <c r="D29" s="14"/>
      <c r="E29" s="14"/>
    </row>
    <row r="30" spans="2:5" x14ac:dyDescent="0.25">
      <c r="C30" s="14"/>
      <c r="D30" s="14"/>
      <c r="E30" s="14"/>
    </row>
    <row r="32" spans="2:5" x14ac:dyDescent="0.25">
      <c r="C32" s="14"/>
      <c r="D32" s="14"/>
    </row>
    <row r="33" spans="3:4" x14ac:dyDescent="0.25">
      <c r="C33" s="14"/>
      <c r="D33" s="1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37"/>
  <sheetViews>
    <sheetView workbookViewId="0">
      <selection activeCell="J16" sqref="J16"/>
    </sheetView>
  </sheetViews>
  <sheetFormatPr defaultRowHeight="15" x14ac:dyDescent="0.25"/>
  <cols>
    <col min="1" max="1" width="2.7109375" customWidth="1"/>
    <col min="2" max="2" width="7.28515625" style="13" customWidth="1"/>
    <col min="3" max="3" width="16.7109375" style="13" customWidth="1"/>
    <col min="4" max="4" width="15.42578125" style="13" customWidth="1"/>
    <col min="5" max="5" width="15.7109375" style="13" customWidth="1"/>
    <col min="6" max="6" width="17.28515625" style="13" customWidth="1"/>
    <col min="7" max="7" width="16.28515625" customWidth="1"/>
    <col min="8" max="8" width="14.7109375" customWidth="1"/>
    <col min="9" max="9" width="16" customWidth="1"/>
    <col min="10" max="10" width="15.42578125" customWidth="1"/>
    <col min="11" max="11" width="12.85546875" customWidth="1"/>
    <col min="12" max="12" width="14" customWidth="1"/>
  </cols>
  <sheetData>
    <row r="1" spans="2:12" ht="21" x14ac:dyDescent="0.25">
      <c r="B1" s="26" t="s">
        <v>14</v>
      </c>
      <c r="C1" s="15"/>
      <c r="D1" s="15"/>
      <c r="E1" s="15"/>
      <c r="F1" s="15"/>
      <c r="G1" s="1"/>
      <c r="H1" s="1"/>
      <c r="I1" s="1"/>
      <c r="J1" s="1"/>
    </row>
    <row r="2" spans="2:12" ht="21.6" customHeight="1" x14ac:dyDescent="0.25">
      <c r="B2" s="27" t="s">
        <v>10</v>
      </c>
      <c r="C2" s="15"/>
      <c r="D2" s="15"/>
      <c r="E2" s="15"/>
      <c r="F2" s="15"/>
      <c r="G2" s="2" t="s">
        <v>12</v>
      </c>
      <c r="H2" s="2"/>
      <c r="J2" s="1"/>
    </row>
    <row r="3" spans="2:12" x14ac:dyDescent="0.25">
      <c r="B3" s="23" t="s">
        <v>0</v>
      </c>
      <c r="C3" s="16"/>
      <c r="D3" s="19">
        <v>100</v>
      </c>
      <c r="E3" s="5" t="s">
        <v>1</v>
      </c>
      <c r="G3" s="3" t="s">
        <v>7</v>
      </c>
      <c r="H3" s="4"/>
      <c r="I3" s="37">
        <f ca="1">D3*K37</f>
        <v>45605900</v>
      </c>
    </row>
    <row r="4" spans="2:12" x14ac:dyDescent="0.25">
      <c r="B4" s="24" t="s">
        <v>15</v>
      </c>
      <c r="C4" s="8"/>
      <c r="D4" s="20">
        <v>20</v>
      </c>
      <c r="E4" s="5" t="s">
        <v>1</v>
      </c>
      <c r="G4" s="30" t="s">
        <v>26</v>
      </c>
      <c r="H4" s="11"/>
      <c r="I4" s="37">
        <f ca="1">D4*F37</f>
        <v>6042420</v>
      </c>
    </row>
    <row r="5" spans="2:12" x14ac:dyDescent="0.25">
      <c r="B5" s="25" t="s">
        <v>16</v>
      </c>
      <c r="C5" s="5"/>
      <c r="D5" s="20">
        <v>50</v>
      </c>
      <c r="E5" s="5" t="s">
        <v>1</v>
      </c>
      <c r="G5" s="3" t="s">
        <v>27</v>
      </c>
      <c r="H5" s="31"/>
      <c r="I5" s="34">
        <f ca="1">D5*G37</f>
        <v>7696900</v>
      </c>
    </row>
    <row r="6" spans="2:12" x14ac:dyDescent="0.25">
      <c r="B6" s="25" t="s">
        <v>2</v>
      </c>
      <c r="C6" s="5"/>
      <c r="D6" s="20">
        <v>10</v>
      </c>
      <c r="E6" s="5" t="s">
        <v>11</v>
      </c>
      <c r="G6" s="29" t="s">
        <v>8</v>
      </c>
      <c r="H6" s="12"/>
      <c r="I6" s="37">
        <f ca="1">D6*I37</f>
        <v>5205720</v>
      </c>
    </row>
    <row r="7" spans="2:12" x14ac:dyDescent="0.25">
      <c r="B7" s="32" t="s">
        <v>24</v>
      </c>
      <c r="C7" s="16"/>
      <c r="D7" s="20">
        <v>10</v>
      </c>
      <c r="E7" s="5" t="s">
        <v>1</v>
      </c>
      <c r="G7" s="33" t="s">
        <v>25</v>
      </c>
      <c r="H7" s="4"/>
      <c r="I7" s="34">
        <f ca="1">D7*H37</f>
        <v>2190110</v>
      </c>
    </row>
    <row r="8" spans="2:12" x14ac:dyDescent="0.25">
      <c r="D8" s="21"/>
      <c r="G8" s="29" t="s">
        <v>9</v>
      </c>
      <c r="H8" s="12"/>
      <c r="I8" s="37">
        <f ca="1">I3-I4-I5-I6+I7</f>
        <v>28850970</v>
      </c>
      <c r="J8">
        <f ca="1">_xll.RiskMean(I8)+_xll.RiskOutput()</f>
        <v>28850970</v>
      </c>
    </row>
    <row r="9" spans="2:12" x14ac:dyDescent="0.25">
      <c r="B9" s="23" t="s">
        <v>13</v>
      </c>
      <c r="C9" s="17"/>
      <c r="D9" s="22">
        <v>1</v>
      </c>
      <c r="E9" s="18"/>
      <c r="I9" s="7"/>
      <c r="J9" s="7"/>
    </row>
    <row r="10" spans="2:12" x14ac:dyDescent="0.25">
      <c r="B10" s="28" t="s">
        <v>23</v>
      </c>
      <c r="G10" t="s">
        <v>34</v>
      </c>
      <c r="H10">
        <v>21132</v>
      </c>
      <c r="I10" s="7"/>
      <c r="J10" s="7"/>
    </row>
    <row r="12" spans="2:12" ht="45" x14ac:dyDescent="0.25">
      <c r="B12" s="9" t="s">
        <v>3</v>
      </c>
      <c r="C12" s="10" t="s">
        <v>17</v>
      </c>
      <c r="D12" s="10" t="s">
        <v>28</v>
      </c>
      <c r="E12" s="10" t="s">
        <v>29</v>
      </c>
      <c r="F12" s="10" t="s">
        <v>30</v>
      </c>
      <c r="G12" s="10" t="s">
        <v>31</v>
      </c>
      <c r="H12" s="10" t="s">
        <v>32</v>
      </c>
      <c r="I12" s="10" t="s">
        <v>18</v>
      </c>
      <c r="J12" s="10" t="s">
        <v>4</v>
      </c>
      <c r="K12" s="9" t="s">
        <v>5</v>
      </c>
      <c r="L12" s="10" t="s">
        <v>6</v>
      </c>
    </row>
    <row r="13" spans="2:12" x14ac:dyDescent="0.25">
      <c r="B13" s="39">
        <v>1</v>
      </c>
      <c r="C13" s="35">
        <v>0</v>
      </c>
      <c r="D13" s="6">
        <f ca="1">ROUND(NORMINV(RAND(),18379,6003),0)</f>
        <v>13419</v>
      </c>
      <c r="E13" s="6">
        <f ca="1">ROUND(NORMINV(RAND(),10098,3005),0)</f>
        <v>14511</v>
      </c>
      <c r="F13" s="38">
        <f ca="1">D13</f>
        <v>13419</v>
      </c>
      <c r="G13" s="38">
        <f ca="1">IF(F13+C13-$H$10&gt;0,0,MIN($H$10-F13-C13,E13))</f>
        <v>7713</v>
      </c>
      <c r="H13" s="41">
        <f ca="1">SUM(D13:E13)-SUM(F13:G13)</f>
        <v>6798</v>
      </c>
      <c r="I13" s="42">
        <f ca="1">C13+F13+G13</f>
        <v>21132</v>
      </c>
      <c r="J13" s="6">
        <f ca="1">ROUND(NORMINV(RAND(),19965,5081),0)</f>
        <v>25326</v>
      </c>
      <c r="K13" s="40">
        <f ca="1">MIN(I13,J13)</f>
        <v>21132</v>
      </c>
      <c r="L13" s="40">
        <f ca="1">I13-K13</f>
        <v>0</v>
      </c>
    </row>
    <row r="14" spans="2:12" x14ac:dyDescent="0.25">
      <c r="B14" s="40">
        <v>2</v>
      </c>
      <c r="C14" s="40">
        <f t="shared" ref="C14:C36" ca="1" si="0">L13</f>
        <v>0</v>
      </c>
      <c r="D14" s="6">
        <f t="shared" ref="D14:D24" ca="1" si="1">ROUND(NORMINV(RAND(),18379,6003),0)</f>
        <v>22743</v>
      </c>
      <c r="E14" s="6">
        <f t="shared" ref="E14:E24" ca="1" si="2">ROUND(NORMINV(RAND(),10098,3005),0)</f>
        <v>5358</v>
      </c>
      <c r="F14" s="38">
        <f t="shared" ref="F14:F36" ca="1" si="3">D14</f>
        <v>22743</v>
      </c>
      <c r="G14" s="38">
        <f t="shared" ref="G14:G36" ca="1" si="4">IF(F14+C14-$H$10&gt;0,0,MIN($H$10-F14-C14,E14))</f>
        <v>0</v>
      </c>
      <c r="H14" s="41">
        <f t="shared" ref="H14:H36" ca="1" si="5">SUM(D14:E14)-SUM(F14:G14)</f>
        <v>5358</v>
      </c>
      <c r="I14" s="40">
        <f t="shared" ref="I14:I36" ca="1" si="6">C14+F14+G14</f>
        <v>22743</v>
      </c>
      <c r="J14" s="6">
        <f t="shared" ref="J14:J36" ca="1" si="7">ROUND(NORMINV(RAND(),19965,5081),0)</f>
        <v>25314</v>
      </c>
      <c r="K14" s="40">
        <f t="shared" ref="K14:K36" ca="1" si="8">MIN(I14,J14)</f>
        <v>22743</v>
      </c>
      <c r="L14" s="40">
        <f t="shared" ref="L14:L36" ca="1" si="9">I14-K14</f>
        <v>0</v>
      </c>
    </row>
    <row r="15" spans="2:12" x14ac:dyDescent="0.25">
      <c r="B15" s="40">
        <v>3</v>
      </c>
      <c r="C15" s="40">
        <f t="shared" ca="1" si="0"/>
        <v>0</v>
      </c>
      <c r="D15" s="6">
        <f t="shared" ca="1" si="1"/>
        <v>10995</v>
      </c>
      <c r="E15" s="6">
        <f t="shared" ca="1" si="2"/>
        <v>6827</v>
      </c>
      <c r="F15" s="38">
        <f t="shared" ca="1" si="3"/>
        <v>10995</v>
      </c>
      <c r="G15" s="38">
        <f t="shared" ca="1" si="4"/>
        <v>6827</v>
      </c>
      <c r="H15" s="41">
        <f t="shared" ca="1" si="5"/>
        <v>0</v>
      </c>
      <c r="I15" s="40">
        <f t="shared" ca="1" si="6"/>
        <v>17822</v>
      </c>
      <c r="J15" s="6">
        <f t="shared" ca="1" si="7"/>
        <v>17682</v>
      </c>
      <c r="K15" s="40">
        <f t="shared" ca="1" si="8"/>
        <v>17682</v>
      </c>
      <c r="L15" s="40">
        <f t="shared" ca="1" si="9"/>
        <v>140</v>
      </c>
    </row>
    <row r="16" spans="2:12" x14ac:dyDescent="0.25">
      <c r="B16" s="40">
        <v>4</v>
      </c>
      <c r="C16" s="40">
        <f t="shared" ca="1" si="0"/>
        <v>140</v>
      </c>
      <c r="D16" s="6">
        <f t="shared" ca="1" si="1"/>
        <v>11591</v>
      </c>
      <c r="E16" s="6">
        <f t="shared" ca="1" si="2"/>
        <v>8408</v>
      </c>
      <c r="F16" s="38">
        <f t="shared" ca="1" si="3"/>
        <v>11591</v>
      </c>
      <c r="G16" s="38">
        <f t="shared" ca="1" si="4"/>
        <v>8408</v>
      </c>
      <c r="H16" s="41">
        <f t="shared" ca="1" si="5"/>
        <v>0</v>
      </c>
      <c r="I16" s="40">
        <f t="shared" ca="1" si="6"/>
        <v>20139</v>
      </c>
      <c r="J16" s="6">
        <f t="shared" ca="1" si="7"/>
        <v>23676</v>
      </c>
      <c r="K16" s="40">
        <f t="shared" ca="1" si="8"/>
        <v>20139</v>
      </c>
      <c r="L16" s="40">
        <f t="shared" ca="1" si="9"/>
        <v>0</v>
      </c>
    </row>
    <row r="17" spans="2:12" x14ac:dyDescent="0.25">
      <c r="B17" s="40">
        <v>5</v>
      </c>
      <c r="C17" s="40">
        <f t="shared" ca="1" si="0"/>
        <v>0</v>
      </c>
      <c r="D17" s="6">
        <f t="shared" ca="1" si="1"/>
        <v>14666</v>
      </c>
      <c r="E17" s="6">
        <f t="shared" ca="1" si="2"/>
        <v>9082</v>
      </c>
      <c r="F17" s="38">
        <f t="shared" ca="1" si="3"/>
        <v>14666</v>
      </c>
      <c r="G17" s="38">
        <f t="shared" ca="1" si="4"/>
        <v>6466</v>
      </c>
      <c r="H17" s="41">
        <f t="shared" ca="1" si="5"/>
        <v>2616</v>
      </c>
      <c r="I17" s="40">
        <f t="shared" ca="1" si="6"/>
        <v>21132</v>
      </c>
      <c r="J17" s="6">
        <f t="shared" ca="1" si="7"/>
        <v>15207</v>
      </c>
      <c r="K17" s="40">
        <f t="shared" ca="1" si="8"/>
        <v>15207</v>
      </c>
      <c r="L17" s="40">
        <f t="shared" ca="1" si="9"/>
        <v>5925</v>
      </c>
    </row>
    <row r="18" spans="2:12" x14ac:dyDescent="0.25">
      <c r="B18" s="40">
        <v>6</v>
      </c>
      <c r="C18" s="40">
        <f t="shared" ca="1" si="0"/>
        <v>5925</v>
      </c>
      <c r="D18" s="6">
        <f t="shared" ca="1" si="1"/>
        <v>13709</v>
      </c>
      <c r="E18" s="6">
        <f t="shared" ca="1" si="2"/>
        <v>15378</v>
      </c>
      <c r="F18" s="38">
        <f t="shared" ca="1" si="3"/>
        <v>13709</v>
      </c>
      <c r="G18" s="38">
        <f t="shared" ca="1" si="4"/>
        <v>1498</v>
      </c>
      <c r="H18" s="41">
        <f t="shared" ca="1" si="5"/>
        <v>13880</v>
      </c>
      <c r="I18" s="40">
        <f t="shared" ca="1" si="6"/>
        <v>21132</v>
      </c>
      <c r="J18" s="6">
        <f t="shared" ca="1" si="7"/>
        <v>24401</v>
      </c>
      <c r="K18" s="40">
        <f t="shared" ca="1" si="8"/>
        <v>21132</v>
      </c>
      <c r="L18" s="40">
        <f t="shared" ca="1" si="9"/>
        <v>0</v>
      </c>
    </row>
    <row r="19" spans="2:12" x14ac:dyDescent="0.25">
      <c r="B19" s="40">
        <v>7</v>
      </c>
      <c r="C19" s="40">
        <f t="shared" ca="1" si="0"/>
        <v>0</v>
      </c>
      <c r="D19" s="6">
        <f t="shared" ca="1" si="1"/>
        <v>22130</v>
      </c>
      <c r="E19" s="6">
        <f t="shared" ca="1" si="2"/>
        <v>5472</v>
      </c>
      <c r="F19" s="38">
        <f t="shared" ca="1" si="3"/>
        <v>22130</v>
      </c>
      <c r="G19" s="38">
        <f t="shared" ca="1" si="4"/>
        <v>0</v>
      </c>
      <c r="H19" s="41">
        <f t="shared" ca="1" si="5"/>
        <v>5472</v>
      </c>
      <c r="I19" s="40">
        <f t="shared" ca="1" si="6"/>
        <v>22130</v>
      </c>
      <c r="J19" s="6">
        <f t="shared" ca="1" si="7"/>
        <v>25721</v>
      </c>
      <c r="K19" s="40">
        <f t="shared" ca="1" si="8"/>
        <v>22130</v>
      </c>
      <c r="L19" s="40">
        <f t="shared" ca="1" si="9"/>
        <v>0</v>
      </c>
    </row>
    <row r="20" spans="2:12" x14ac:dyDescent="0.25">
      <c r="B20" s="40">
        <v>8</v>
      </c>
      <c r="C20" s="40">
        <f t="shared" ca="1" si="0"/>
        <v>0</v>
      </c>
      <c r="D20" s="6">
        <f t="shared" ca="1" si="1"/>
        <v>24293</v>
      </c>
      <c r="E20" s="6">
        <f t="shared" ca="1" si="2"/>
        <v>11567</v>
      </c>
      <c r="F20" s="38">
        <f t="shared" ca="1" si="3"/>
        <v>24293</v>
      </c>
      <c r="G20" s="38">
        <f t="shared" ca="1" si="4"/>
        <v>0</v>
      </c>
      <c r="H20" s="41">
        <f t="shared" ca="1" si="5"/>
        <v>11567</v>
      </c>
      <c r="I20" s="40">
        <f t="shared" ca="1" si="6"/>
        <v>24293</v>
      </c>
      <c r="J20" s="6">
        <f t="shared" ca="1" si="7"/>
        <v>22656</v>
      </c>
      <c r="K20" s="40">
        <f t="shared" ca="1" si="8"/>
        <v>22656</v>
      </c>
      <c r="L20" s="40">
        <f t="shared" ca="1" si="9"/>
        <v>1637</v>
      </c>
    </row>
    <row r="21" spans="2:12" x14ac:dyDescent="0.25">
      <c r="B21" s="40">
        <v>9</v>
      </c>
      <c r="C21" s="40">
        <f t="shared" ca="1" si="0"/>
        <v>1637</v>
      </c>
      <c r="D21" s="6">
        <f t="shared" ca="1" si="1"/>
        <v>27951</v>
      </c>
      <c r="E21" s="6">
        <f t="shared" ca="1" si="2"/>
        <v>9791</v>
      </c>
      <c r="F21" s="38">
        <f t="shared" ca="1" si="3"/>
        <v>27951</v>
      </c>
      <c r="G21" s="38">
        <f t="shared" ca="1" si="4"/>
        <v>0</v>
      </c>
      <c r="H21" s="41">
        <f t="shared" ca="1" si="5"/>
        <v>9791</v>
      </c>
      <c r="I21" s="40">
        <f t="shared" ca="1" si="6"/>
        <v>29588</v>
      </c>
      <c r="J21" s="6">
        <f t="shared" ca="1" si="7"/>
        <v>22595</v>
      </c>
      <c r="K21" s="40">
        <f t="shared" ca="1" si="8"/>
        <v>22595</v>
      </c>
      <c r="L21" s="40">
        <f t="shared" ca="1" si="9"/>
        <v>6993</v>
      </c>
    </row>
    <row r="22" spans="2:12" x14ac:dyDescent="0.25">
      <c r="B22" s="40">
        <v>10</v>
      </c>
      <c r="C22" s="40">
        <f t="shared" ca="1" si="0"/>
        <v>6993</v>
      </c>
      <c r="D22" s="6">
        <f t="shared" ca="1" si="1"/>
        <v>18871</v>
      </c>
      <c r="E22" s="6">
        <f t="shared" ca="1" si="2"/>
        <v>12653</v>
      </c>
      <c r="F22" s="38">
        <f t="shared" ca="1" si="3"/>
        <v>18871</v>
      </c>
      <c r="G22" s="38">
        <f t="shared" ca="1" si="4"/>
        <v>0</v>
      </c>
      <c r="H22" s="41">
        <f t="shared" ca="1" si="5"/>
        <v>12653</v>
      </c>
      <c r="I22" s="40">
        <f t="shared" ca="1" si="6"/>
        <v>25864</v>
      </c>
      <c r="J22" s="6">
        <f t="shared" ca="1" si="7"/>
        <v>27932</v>
      </c>
      <c r="K22" s="40">
        <f t="shared" ca="1" si="8"/>
        <v>25864</v>
      </c>
      <c r="L22" s="40">
        <f t="shared" ca="1" si="9"/>
        <v>0</v>
      </c>
    </row>
    <row r="23" spans="2:12" x14ac:dyDescent="0.25">
      <c r="B23" s="40">
        <v>11</v>
      </c>
      <c r="C23" s="40">
        <f t="shared" ca="1" si="0"/>
        <v>0</v>
      </c>
      <c r="D23" s="6">
        <f t="shared" ca="1" si="1"/>
        <v>15445</v>
      </c>
      <c r="E23" s="6">
        <f t="shared" ca="1" si="2"/>
        <v>17902</v>
      </c>
      <c r="F23" s="38">
        <f t="shared" ca="1" si="3"/>
        <v>15445</v>
      </c>
      <c r="G23" s="38">
        <f t="shared" ca="1" si="4"/>
        <v>5687</v>
      </c>
      <c r="H23" s="41">
        <f t="shared" ca="1" si="5"/>
        <v>12215</v>
      </c>
      <c r="I23" s="40">
        <f t="shared" ca="1" si="6"/>
        <v>21132</v>
      </c>
      <c r="J23" s="6">
        <f t="shared" ca="1" si="7"/>
        <v>14571</v>
      </c>
      <c r="K23" s="40">
        <f t="shared" ca="1" si="8"/>
        <v>14571</v>
      </c>
      <c r="L23" s="40">
        <f t="shared" ca="1" si="9"/>
        <v>6561</v>
      </c>
    </row>
    <row r="24" spans="2:12" x14ac:dyDescent="0.25">
      <c r="B24" s="40">
        <v>12</v>
      </c>
      <c r="C24" s="40">
        <f t="shared" ca="1" si="0"/>
        <v>6561</v>
      </c>
      <c r="D24" s="6">
        <f t="shared" ca="1" si="1"/>
        <v>10815</v>
      </c>
      <c r="E24" s="6">
        <f t="shared" ca="1" si="2"/>
        <v>8863</v>
      </c>
      <c r="F24" s="38">
        <f t="shared" ca="1" si="3"/>
        <v>10815</v>
      </c>
      <c r="G24" s="38">
        <f t="shared" ca="1" si="4"/>
        <v>3756</v>
      </c>
      <c r="H24" s="41">
        <f t="shared" ca="1" si="5"/>
        <v>5107</v>
      </c>
      <c r="I24" s="40">
        <f t="shared" ca="1" si="6"/>
        <v>21132</v>
      </c>
      <c r="J24" s="6">
        <f t="shared" ca="1" si="7"/>
        <v>19228</v>
      </c>
      <c r="K24" s="40">
        <f t="shared" ca="1" si="8"/>
        <v>19228</v>
      </c>
      <c r="L24" s="40">
        <f t="shared" ca="1" si="9"/>
        <v>1904</v>
      </c>
    </row>
    <row r="25" spans="2:12" x14ac:dyDescent="0.25">
      <c r="B25" s="40">
        <v>13</v>
      </c>
      <c r="C25" s="40">
        <f t="shared" ca="1" si="0"/>
        <v>1904</v>
      </c>
      <c r="D25" s="6">
        <f ca="1">ROUND(NORMINV(RAND(),10067,2991),0)</f>
        <v>4425</v>
      </c>
      <c r="E25" s="6">
        <f ca="1">ROUND(NORMINV(RAND(),18326,6078),0)</f>
        <v>13218</v>
      </c>
      <c r="F25" s="38">
        <f t="shared" ca="1" si="3"/>
        <v>4425</v>
      </c>
      <c r="G25" s="38">
        <f t="shared" ca="1" si="4"/>
        <v>13218</v>
      </c>
      <c r="H25" s="41">
        <f t="shared" ca="1" si="5"/>
        <v>0</v>
      </c>
      <c r="I25" s="40">
        <f ca="1">C25+F25+G25</f>
        <v>19547</v>
      </c>
      <c r="J25" s="6">
        <f t="shared" ca="1" si="7"/>
        <v>27949</v>
      </c>
      <c r="K25" s="40">
        <f t="shared" ca="1" si="8"/>
        <v>19547</v>
      </c>
      <c r="L25" s="40">
        <f t="shared" ca="1" si="9"/>
        <v>0</v>
      </c>
    </row>
    <row r="26" spans="2:12" x14ac:dyDescent="0.25">
      <c r="B26" s="40">
        <v>14</v>
      </c>
      <c r="C26" s="40">
        <f t="shared" ca="1" si="0"/>
        <v>0</v>
      </c>
      <c r="D26" s="6">
        <f t="shared" ref="D26:D36" ca="1" si="10">ROUND(NORMINV(RAND(),10067,2991),0)</f>
        <v>9738</v>
      </c>
      <c r="E26" s="6">
        <f t="shared" ref="E26:E36" ca="1" si="11">ROUND(NORMINV(RAND(),18326,6078),0)</f>
        <v>21178</v>
      </c>
      <c r="F26" s="38">
        <f t="shared" ca="1" si="3"/>
        <v>9738</v>
      </c>
      <c r="G26" s="38">
        <f t="shared" ca="1" si="4"/>
        <v>11394</v>
      </c>
      <c r="H26" s="41">
        <f t="shared" ca="1" si="5"/>
        <v>9784</v>
      </c>
      <c r="I26" s="40">
        <f t="shared" ca="1" si="6"/>
        <v>21132</v>
      </c>
      <c r="J26" s="6">
        <f t="shared" ca="1" si="7"/>
        <v>15632</v>
      </c>
      <c r="K26" s="40">
        <f t="shared" ca="1" si="8"/>
        <v>15632</v>
      </c>
      <c r="L26" s="40">
        <f t="shared" ca="1" si="9"/>
        <v>5500</v>
      </c>
    </row>
    <row r="27" spans="2:12" x14ac:dyDescent="0.25">
      <c r="B27" s="40">
        <v>15</v>
      </c>
      <c r="C27" s="40">
        <f t="shared" ca="1" si="0"/>
        <v>5500</v>
      </c>
      <c r="D27" s="6">
        <f t="shared" ca="1" si="10"/>
        <v>5897</v>
      </c>
      <c r="E27" s="6">
        <f t="shared" ca="1" si="11"/>
        <v>21798</v>
      </c>
      <c r="F27" s="38">
        <f t="shared" ca="1" si="3"/>
        <v>5897</v>
      </c>
      <c r="G27" s="38">
        <f t="shared" ca="1" si="4"/>
        <v>9735</v>
      </c>
      <c r="H27" s="41">
        <f t="shared" ca="1" si="5"/>
        <v>12063</v>
      </c>
      <c r="I27" s="40">
        <f t="shared" ca="1" si="6"/>
        <v>21132</v>
      </c>
      <c r="J27" s="6">
        <f t="shared" ca="1" si="7"/>
        <v>33980</v>
      </c>
      <c r="K27" s="40">
        <f t="shared" ca="1" si="8"/>
        <v>21132</v>
      </c>
      <c r="L27" s="40">
        <f t="shared" ca="1" si="9"/>
        <v>0</v>
      </c>
    </row>
    <row r="28" spans="2:12" x14ac:dyDescent="0.25">
      <c r="B28" s="40">
        <v>16</v>
      </c>
      <c r="C28" s="40">
        <f t="shared" ca="1" si="0"/>
        <v>0</v>
      </c>
      <c r="D28" s="6">
        <f t="shared" ca="1" si="10"/>
        <v>11715</v>
      </c>
      <c r="E28" s="6">
        <f t="shared" ca="1" si="11"/>
        <v>31227</v>
      </c>
      <c r="F28" s="38">
        <f t="shared" ca="1" si="3"/>
        <v>11715</v>
      </c>
      <c r="G28" s="38">
        <f t="shared" ca="1" si="4"/>
        <v>9417</v>
      </c>
      <c r="H28" s="41">
        <f t="shared" ca="1" si="5"/>
        <v>21810</v>
      </c>
      <c r="I28" s="40">
        <f t="shared" ca="1" si="6"/>
        <v>21132</v>
      </c>
      <c r="J28" s="6">
        <f t="shared" ca="1" si="7"/>
        <v>11145</v>
      </c>
      <c r="K28" s="40">
        <f t="shared" ca="1" si="8"/>
        <v>11145</v>
      </c>
      <c r="L28" s="40">
        <f t="shared" ca="1" si="9"/>
        <v>9987</v>
      </c>
    </row>
    <row r="29" spans="2:12" x14ac:dyDescent="0.25">
      <c r="B29" s="40">
        <v>17</v>
      </c>
      <c r="C29" s="40">
        <f t="shared" ca="1" si="0"/>
        <v>9987</v>
      </c>
      <c r="D29" s="6">
        <f t="shared" ca="1" si="10"/>
        <v>5926</v>
      </c>
      <c r="E29" s="6">
        <f t="shared" ca="1" si="11"/>
        <v>14024</v>
      </c>
      <c r="F29" s="38">
        <f t="shared" ca="1" si="3"/>
        <v>5926</v>
      </c>
      <c r="G29" s="38">
        <f t="shared" ca="1" si="4"/>
        <v>5219</v>
      </c>
      <c r="H29" s="41">
        <f t="shared" ca="1" si="5"/>
        <v>8805</v>
      </c>
      <c r="I29" s="40">
        <f t="shared" ca="1" si="6"/>
        <v>21132</v>
      </c>
      <c r="J29" s="6">
        <f t="shared" ca="1" si="7"/>
        <v>15492</v>
      </c>
      <c r="K29" s="40">
        <f t="shared" ca="1" si="8"/>
        <v>15492</v>
      </c>
      <c r="L29" s="40">
        <f t="shared" ca="1" si="9"/>
        <v>5640</v>
      </c>
    </row>
    <row r="30" spans="2:12" x14ac:dyDescent="0.25">
      <c r="B30" s="40">
        <v>18</v>
      </c>
      <c r="C30" s="40">
        <f t="shared" ca="1" si="0"/>
        <v>5640</v>
      </c>
      <c r="D30" s="6">
        <f t="shared" ca="1" si="10"/>
        <v>9210</v>
      </c>
      <c r="E30" s="6">
        <f t="shared" ca="1" si="11"/>
        <v>17419</v>
      </c>
      <c r="F30" s="38">
        <f t="shared" ca="1" si="3"/>
        <v>9210</v>
      </c>
      <c r="G30" s="38">
        <f t="shared" ca="1" si="4"/>
        <v>6282</v>
      </c>
      <c r="H30" s="41">
        <f t="shared" ca="1" si="5"/>
        <v>11137</v>
      </c>
      <c r="I30" s="40">
        <f t="shared" ca="1" si="6"/>
        <v>21132</v>
      </c>
      <c r="J30" s="6">
        <f t="shared" ca="1" si="7"/>
        <v>23990</v>
      </c>
      <c r="K30" s="40">
        <f t="shared" ca="1" si="8"/>
        <v>21132</v>
      </c>
      <c r="L30" s="40">
        <f t="shared" ca="1" si="9"/>
        <v>0</v>
      </c>
    </row>
    <row r="31" spans="2:12" x14ac:dyDescent="0.25">
      <c r="B31" s="40">
        <v>19</v>
      </c>
      <c r="C31" s="40">
        <f t="shared" ca="1" si="0"/>
        <v>0</v>
      </c>
      <c r="D31" s="6">
        <f t="shared" ca="1" si="10"/>
        <v>11674</v>
      </c>
      <c r="E31" s="6">
        <f t="shared" ca="1" si="11"/>
        <v>23445</v>
      </c>
      <c r="F31" s="38">
        <f t="shared" ca="1" si="3"/>
        <v>11674</v>
      </c>
      <c r="G31" s="38">
        <f t="shared" ca="1" si="4"/>
        <v>9458</v>
      </c>
      <c r="H31" s="41">
        <f t="shared" ca="1" si="5"/>
        <v>13987</v>
      </c>
      <c r="I31" s="40">
        <f t="shared" ca="1" si="6"/>
        <v>21132</v>
      </c>
      <c r="J31" s="6">
        <f t="shared" ca="1" si="7"/>
        <v>18340</v>
      </c>
      <c r="K31" s="40">
        <f t="shared" ca="1" si="8"/>
        <v>18340</v>
      </c>
      <c r="L31" s="40">
        <f t="shared" ca="1" si="9"/>
        <v>2792</v>
      </c>
    </row>
    <row r="32" spans="2:12" x14ac:dyDescent="0.25">
      <c r="B32" s="40">
        <v>20</v>
      </c>
      <c r="C32" s="40">
        <f t="shared" ca="1" si="0"/>
        <v>2792</v>
      </c>
      <c r="D32" s="6">
        <f t="shared" ca="1" si="10"/>
        <v>5787</v>
      </c>
      <c r="E32" s="6">
        <f t="shared" ca="1" si="11"/>
        <v>32235</v>
      </c>
      <c r="F32" s="38">
        <f t="shared" ca="1" si="3"/>
        <v>5787</v>
      </c>
      <c r="G32" s="38">
        <f t="shared" ca="1" si="4"/>
        <v>12553</v>
      </c>
      <c r="H32" s="41">
        <f t="shared" ca="1" si="5"/>
        <v>19682</v>
      </c>
      <c r="I32" s="40">
        <f t="shared" ca="1" si="6"/>
        <v>21132</v>
      </c>
      <c r="J32" s="6">
        <f t="shared" ca="1" si="7"/>
        <v>26239</v>
      </c>
      <c r="K32" s="40">
        <f t="shared" ca="1" si="8"/>
        <v>21132</v>
      </c>
      <c r="L32" s="40">
        <f t="shared" ca="1" si="9"/>
        <v>0</v>
      </c>
    </row>
    <row r="33" spans="2:12" x14ac:dyDescent="0.25">
      <c r="B33" s="40">
        <v>21</v>
      </c>
      <c r="C33" s="40">
        <f t="shared" ca="1" si="0"/>
        <v>0</v>
      </c>
      <c r="D33" s="6">
        <f t="shared" ca="1" si="10"/>
        <v>7000</v>
      </c>
      <c r="E33" s="6">
        <f t="shared" ca="1" si="11"/>
        <v>18713</v>
      </c>
      <c r="F33" s="38">
        <f t="shared" ca="1" si="3"/>
        <v>7000</v>
      </c>
      <c r="G33" s="38">
        <f t="shared" ca="1" si="4"/>
        <v>14132</v>
      </c>
      <c r="H33" s="41">
        <f t="shared" ca="1" si="5"/>
        <v>4581</v>
      </c>
      <c r="I33" s="40">
        <f t="shared" ca="1" si="6"/>
        <v>21132</v>
      </c>
      <c r="J33" s="6">
        <f t="shared" ca="1" si="7"/>
        <v>16129</v>
      </c>
      <c r="K33" s="40">
        <f t="shared" ca="1" si="8"/>
        <v>16129</v>
      </c>
      <c r="L33" s="40">
        <f t="shared" ca="1" si="9"/>
        <v>5003</v>
      </c>
    </row>
    <row r="34" spans="2:12" x14ac:dyDescent="0.25">
      <c r="B34" s="40">
        <v>22</v>
      </c>
      <c r="C34" s="40">
        <f t="shared" ca="1" si="0"/>
        <v>5003</v>
      </c>
      <c r="D34" s="6">
        <f t="shared" ca="1" si="10"/>
        <v>7406</v>
      </c>
      <c r="E34" s="6">
        <f t="shared" ca="1" si="11"/>
        <v>26250</v>
      </c>
      <c r="F34" s="38">
        <f t="shared" ca="1" si="3"/>
        <v>7406</v>
      </c>
      <c r="G34" s="38">
        <f t="shared" ca="1" si="4"/>
        <v>8723</v>
      </c>
      <c r="H34" s="41">
        <f t="shared" ca="1" si="5"/>
        <v>17527</v>
      </c>
      <c r="I34" s="40">
        <f t="shared" ca="1" si="6"/>
        <v>21132</v>
      </c>
      <c r="J34" s="6">
        <f t="shared" ca="1" si="7"/>
        <v>20104</v>
      </c>
      <c r="K34" s="40">
        <f t="shared" ca="1" si="8"/>
        <v>20104</v>
      </c>
      <c r="L34" s="40">
        <f t="shared" ca="1" si="9"/>
        <v>1028</v>
      </c>
    </row>
    <row r="35" spans="2:12" x14ac:dyDescent="0.25">
      <c r="B35" s="40">
        <v>23</v>
      </c>
      <c r="C35" s="40">
        <f t="shared" ca="1" si="0"/>
        <v>1028</v>
      </c>
      <c r="D35" s="6">
        <f t="shared" ca="1" si="10"/>
        <v>6652</v>
      </c>
      <c r="E35" s="6">
        <f t="shared" ca="1" si="11"/>
        <v>16575</v>
      </c>
      <c r="F35" s="38">
        <f t="shared" ca="1" si="3"/>
        <v>6652</v>
      </c>
      <c r="G35" s="38">
        <f t="shared" ca="1" si="4"/>
        <v>13452</v>
      </c>
      <c r="H35" s="41">
        <f t="shared" ca="1" si="5"/>
        <v>3123</v>
      </c>
      <c r="I35" s="40">
        <f t="shared" ca="1" si="6"/>
        <v>21132</v>
      </c>
      <c r="J35" s="6">
        <f t="shared" ca="1" si="7"/>
        <v>9729</v>
      </c>
      <c r="K35" s="40">
        <f t="shared" ca="1" si="8"/>
        <v>9729</v>
      </c>
      <c r="L35" s="40">
        <f t="shared" ca="1" si="9"/>
        <v>11403</v>
      </c>
    </row>
    <row r="36" spans="2:12" x14ac:dyDescent="0.25">
      <c r="B36" s="40">
        <v>24</v>
      </c>
      <c r="C36" s="40">
        <f t="shared" ca="1" si="0"/>
        <v>11403</v>
      </c>
      <c r="D36" s="6">
        <f t="shared" ca="1" si="10"/>
        <v>10063</v>
      </c>
      <c r="E36" s="6">
        <f t="shared" ca="1" si="11"/>
        <v>11055</v>
      </c>
      <c r="F36" s="38">
        <f t="shared" ca="1" si="3"/>
        <v>10063</v>
      </c>
      <c r="G36" s="38">
        <f t="shared" ca="1" si="4"/>
        <v>0</v>
      </c>
      <c r="H36" s="41">
        <f t="shared" ca="1" si="5"/>
        <v>11055</v>
      </c>
      <c r="I36" s="40">
        <f t="shared" ca="1" si="6"/>
        <v>21466</v>
      </c>
      <c r="J36" s="6">
        <f t="shared" ca="1" si="7"/>
        <v>24351</v>
      </c>
      <c r="K36" s="40">
        <f t="shared" ca="1" si="8"/>
        <v>21466</v>
      </c>
      <c r="L36" s="44">
        <f t="shared" ca="1" si="9"/>
        <v>0</v>
      </c>
    </row>
    <row r="37" spans="2:12" x14ac:dyDescent="0.25">
      <c r="F37" s="40">
        <f ca="1">SUM(F13:F36)</f>
        <v>302121</v>
      </c>
      <c r="G37" s="40">
        <f ca="1">SUM(G13:G36)</f>
        <v>153938</v>
      </c>
      <c r="H37" s="43">
        <f ca="1">SUM(H13:H36)+L36</f>
        <v>219011</v>
      </c>
      <c r="I37" s="40">
        <f ca="1">SUM(I13:I36)</f>
        <v>520572</v>
      </c>
      <c r="J37" s="36"/>
      <c r="K37" s="45">
        <f ca="1">SUM(K13:K36)</f>
        <v>456059</v>
      </c>
      <c r="L37" s="46"/>
    </row>
  </sheetData>
  <dataValidations count="1">
    <dataValidation type="whole" operator="greaterThanOrEqual" allowBlank="1" showInputMessage="1" showErrorMessage="1" sqref="F13:G36">
      <formula1>0</formula1>
    </dataValidation>
  </dataValidations>
  <pageMargins left="0.7" right="0.7" top="0.75" bottom="0.75" header="0.3" footer="0.3"/>
  <pageSetup orientation="portrait" r:id="rId1"/>
  <ignoredErrors>
    <ignoredError sqref="H13:H36" unlockedFormula="1"/>
    <ignoredError sqref="H37"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B14"/>
  <sheetViews>
    <sheetView tabSelected="1" workbookViewId="0">
      <selection activeCell="B9" sqref="B9"/>
    </sheetView>
  </sheetViews>
  <sheetFormatPr defaultRowHeight="15" x14ac:dyDescent="0.25"/>
  <cols>
    <col min="2" max="2" width="116.140625" customWidth="1"/>
  </cols>
  <sheetData>
    <row r="1" spans="2:2" ht="21" x14ac:dyDescent="0.25">
      <c r="B1" s="63" t="s">
        <v>163</v>
      </c>
    </row>
    <row r="2" spans="2:2" ht="21" x14ac:dyDescent="0.25">
      <c r="B2" s="62"/>
    </row>
    <row r="3" spans="2:2" ht="21" x14ac:dyDescent="0.25">
      <c r="B3" s="60" t="s">
        <v>160</v>
      </c>
    </row>
    <row r="4" spans="2:2" ht="21" x14ac:dyDescent="0.25">
      <c r="B4" s="61" t="s">
        <v>164</v>
      </c>
    </row>
    <row r="5" spans="2:2" ht="42" x14ac:dyDescent="0.25">
      <c r="B5" s="61" t="s">
        <v>161</v>
      </c>
    </row>
    <row r="6" spans="2:2" ht="63" x14ac:dyDescent="0.25">
      <c r="B6" s="61" t="s">
        <v>166</v>
      </c>
    </row>
    <row r="7" spans="2:2" ht="63" x14ac:dyDescent="0.25">
      <c r="B7" s="61" t="s">
        <v>167</v>
      </c>
    </row>
    <row r="8" spans="2:2" ht="42" x14ac:dyDescent="0.25">
      <c r="B8" s="61" t="s">
        <v>165</v>
      </c>
    </row>
    <row r="9" spans="2:2" ht="21" x14ac:dyDescent="0.25">
      <c r="B9" s="61" t="s">
        <v>162</v>
      </c>
    </row>
    <row r="10" spans="2:2" ht="63" x14ac:dyDescent="0.25">
      <c r="B10" s="61" t="s">
        <v>168</v>
      </c>
    </row>
    <row r="14" spans="2:2" x14ac:dyDescent="0.25">
      <c r="B14" s="59"/>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U27"/>
  <sheetViews>
    <sheetView workbookViewId="0"/>
  </sheetViews>
  <sheetFormatPr defaultColWidth="15.7109375" defaultRowHeight="15" x14ac:dyDescent="0.25"/>
  <cols>
    <col min="1" max="16384" width="15.7109375" style="51"/>
  </cols>
  <sheetData>
    <row r="1" spans="1:73" x14ac:dyDescent="0.25">
      <c r="A1" s="51" t="s">
        <v>89</v>
      </c>
      <c r="B1" s="54">
        <f ca="1">Game!$J$8</f>
        <v>28850970</v>
      </c>
      <c r="C1" s="55">
        <v>1</v>
      </c>
      <c r="D1" s="55">
        <v>0.5</v>
      </c>
      <c r="E1" s="53"/>
      <c r="F1" s="51" t="s">
        <v>123</v>
      </c>
      <c r="I1" s="51" t="s">
        <v>80</v>
      </c>
      <c r="J1" s="53">
        <v>4</v>
      </c>
      <c r="L1" s="51" t="s">
        <v>77</v>
      </c>
      <c r="M1" s="53" t="b">
        <v>1</v>
      </c>
      <c r="O1" s="51" t="s">
        <v>72</v>
      </c>
      <c r="Y1" s="51" t="s">
        <v>91</v>
      </c>
      <c r="AA1" s="51" t="s">
        <v>131</v>
      </c>
      <c r="AD1" s="51" t="s">
        <v>106</v>
      </c>
    </row>
    <row r="2" spans="1:73" x14ac:dyDescent="0.25">
      <c r="A2" s="51" t="s">
        <v>90</v>
      </c>
      <c r="B2" s="54">
        <v>2</v>
      </c>
      <c r="C2" s="54">
        <v>0</v>
      </c>
      <c r="F2" s="51" t="s">
        <v>124</v>
      </c>
      <c r="G2" s="54" t="b">
        <v>0</v>
      </c>
      <c r="H2" s="54"/>
      <c r="I2" s="51" t="s">
        <v>70</v>
      </c>
      <c r="J2" s="53"/>
      <c r="L2" s="51" t="s">
        <v>117</v>
      </c>
      <c r="M2" s="55">
        <v>1000</v>
      </c>
      <c r="O2" s="51" t="s">
        <v>73</v>
      </c>
      <c r="P2" s="53"/>
      <c r="R2" s="51" t="s">
        <v>81</v>
      </c>
      <c r="S2" s="56" t="s">
        <v>138</v>
      </c>
      <c r="U2" s="51" t="s">
        <v>87</v>
      </c>
      <c r="V2" s="53"/>
      <c r="X2" s="51" t="s">
        <v>92</v>
      </c>
      <c r="Y2" s="54">
        <v>0</v>
      </c>
      <c r="AA2" s="51" t="s">
        <v>132</v>
      </c>
      <c r="AB2" s="54">
        <v>0</v>
      </c>
      <c r="AD2" s="51" t="s">
        <v>107</v>
      </c>
      <c r="AE2" s="54" t="b">
        <v>1</v>
      </c>
    </row>
    <row r="3" spans="1:73" x14ac:dyDescent="0.25">
      <c r="A3" s="51" t="s">
        <v>102</v>
      </c>
      <c r="B3" s="54" t="b">
        <v>1</v>
      </c>
      <c r="C3" s="54">
        <v>1000</v>
      </c>
      <c r="F3" s="51" t="s">
        <v>125</v>
      </c>
      <c r="G3" s="54" t="b">
        <v>0</v>
      </c>
      <c r="H3" s="54"/>
      <c r="I3" s="51" t="s">
        <v>71</v>
      </c>
      <c r="J3" s="58">
        <v>27000</v>
      </c>
      <c r="L3" s="51" t="s">
        <v>116</v>
      </c>
      <c r="M3" s="55">
        <v>1</v>
      </c>
      <c r="N3" s="55">
        <v>0</v>
      </c>
      <c r="O3" s="51" t="s">
        <v>74</v>
      </c>
      <c r="P3" s="53"/>
      <c r="R3" s="51" t="s">
        <v>82</v>
      </c>
      <c r="S3" s="56" t="s">
        <v>153</v>
      </c>
      <c r="U3" s="51" t="s">
        <v>88</v>
      </c>
      <c r="V3" s="53"/>
      <c r="X3" s="51" t="s">
        <v>93</v>
      </c>
      <c r="Y3" s="54">
        <v>0.1</v>
      </c>
      <c r="AA3" s="51" t="s">
        <v>133</v>
      </c>
      <c r="AB3" s="53"/>
      <c r="AD3" s="51" t="s">
        <v>108</v>
      </c>
      <c r="AE3" s="54">
        <v>250</v>
      </c>
    </row>
    <row r="4" spans="1:73" x14ac:dyDescent="0.25">
      <c r="A4" s="51" t="s">
        <v>104</v>
      </c>
      <c r="B4" s="54" t="b">
        <v>0</v>
      </c>
      <c r="C4" s="54">
        <v>5</v>
      </c>
      <c r="D4" s="54">
        <v>2</v>
      </c>
      <c r="F4" s="51" t="s">
        <v>126</v>
      </c>
      <c r="G4" s="54" t="b">
        <v>0</v>
      </c>
      <c r="H4" s="54"/>
      <c r="L4" s="51" t="s">
        <v>99</v>
      </c>
      <c r="M4" s="55" t="b">
        <v>1</v>
      </c>
      <c r="O4" s="51" t="s">
        <v>75</v>
      </c>
      <c r="P4" s="53"/>
      <c r="R4" s="51" t="s">
        <v>83</v>
      </c>
      <c r="S4" s="56" t="s">
        <v>139</v>
      </c>
      <c r="X4" s="51" t="s">
        <v>94</v>
      </c>
      <c r="Y4" s="54">
        <v>0.5</v>
      </c>
      <c r="AA4" s="51" t="s">
        <v>134</v>
      </c>
      <c r="AB4" s="53"/>
      <c r="AD4" s="51" t="s">
        <v>109</v>
      </c>
      <c r="AE4" s="54" t="b">
        <v>0</v>
      </c>
    </row>
    <row r="5" spans="1:73" x14ac:dyDescent="0.25">
      <c r="A5" s="51" t="s">
        <v>105</v>
      </c>
      <c r="B5" s="54" t="b">
        <v>0</v>
      </c>
      <c r="C5" s="54">
        <v>100</v>
      </c>
      <c r="D5" s="54">
        <v>0.01</v>
      </c>
      <c r="E5" s="54" t="b">
        <v>1</v>
      </c>
      <c r="F5" s="51" t="s">
        <v>127</v>
      </c>
      <c r="G5" s="54" t="b">
        <v>0</v>
      </c>
      <c r="H5" s="54"/>
      <c r="L5" s="51" t="s">
        <v>100</v>
      </c>
      <c r="M5" s="55">
        <v>3</v>
      </c>
      <c r="O5" s="51" t="s">
        <v>76</v>
      </c>
      <c r="P5" s="53"/>
      <c r="R5" s="51" t="s">
        <v>84</v>
      </c>
      <c r="S5" s="56" t="s">
        <v>138</v>
      </c>
      <c r="X5" s="51" t="s">
        <v>95</v>
      </c>
      <c r="Y5" s="54" t="s">
        <v>137</v>
      </c>
      <c r="AA5" s="51" t="s">
        <v>135</v>
      </c>
      <c r="AB5" s="53"/>
      <c r="AD5" s="51" t="s">
        <v>110</v>
      </c>
      <c r="AE5" s="54">
        <v>15</v>
      </c>
    </row>
    <row r="6" spans="1:73" x14ac:dyDescent="0.25">
      <c r="A6" s="51" t="s">
        <v>103</v>
      </c>
      <c r="B6" s="54" t="b">
        <v>0</v>
      </c>
      <c r="C6" s="54"/>
      <c r="F6" s="51" t="s">
        <v>128</v>
      </c>
      <c r="G6" s="54" t="b">
        <v>0</v>
      </c>
      <c r="H6" s="54"/>
      <c r="L6" s="51" t="s">
        <v>129</v>
      </c>
      <c r="M6" s="55" t="b">
        <v>0</v>
      </c>
      <c r="N6" s="55"/>
      <c r="R6" s="51" t="s">
        <v>85</v>
      </c>
      <c r="S6" s="53"/>
      <c r="X6" s="51" t="s">
        <v>96</v>
      </c>
      <c r="Y6" s="55" t="b">
        <v>1</v>
      </c>
      <c r="AA6" s="51" t="s">
        <v>136</v>
      </c>
      <c r="AB6" s="53"/>
      <c r="AD6" s="51" t="s">
        <v>111</v>
      </c>
      <c r="AE6" s="54">
        <v>2</v>
      </c>
    </row>
    <row r="7" spans="1:73" x14ac:dyDescent="0.25">
      <c r="A7" s="51" t="s">
        <v>97</v>
      </c>
      <c r="B7" s="54">
        <v>50</v>
      </c>
      <c r="L7" s="51" t="s">
        <v>130</v>
      </c>
      <c r="M7" s="55" t="b">
        <v>0</v>
      </c>
      <c r="N7" s="55"/>
      <c r="R7" s="51" t="s">
        <v>86</v>
      </c>
      <c r="S7" s="53" t="b">
        <v>1</v>
      </c>
      <c r="AD7" s="51" t="s">
        <v>112</v>
      </c>
      <c r="AE7" s="54" t="b">
        <v>0</v>
      </c>
    </row>
    <row r="8" spans="1:73" x14ac:dyDescent="0.25">
      <c r="A8" s="51" t="s">
        <v>35</v>
      </c>
      <c r="B8" s="51" t="s">
        <v>35</v>
      </c>
      <c r="F8" s="51" t="s">
        <v>98</v>
      </c>
      <c r="G8" s="54" t="b">
        <v>1</v>
      </c>
      <c r="H8" s="54">
        <v>1</v>
      </c>
      <c r="AD8" s="51" t="s">
        <v>113</v>
      </c>
      <c r="AE8" s="54">
        <v>100</v>
      </c>
    </row>
    <row r="9" spans="1:73" x14ac:dyDescent="0.25">
      <c r="A9" s="51" t="s">
        <v>122</v>
      </c>
      <c r="B9" s="54">
        <v>3</v>
      </c>
      <c r="F9" s="51" t="s">
        <v>119</v>
      </c>
      <c r="G9" s="54" t="b">
        <v>0</v>
      </c>
      <c r="AD9" s="51" t="s">
        <v>114</v>
      </c>
      <c r="AE9" s="54">
        <v>0.01</v>
      </c>
    </row>
    <row r="10" spans="1:73" x14ac:dyDescent="0.25">
      <c r="A10" s="51" t="s">
        <v>101</v>
      </c>
      <c r="B10" s="54" t="b">
        <v>0</v>
      </c>
      <c r="AD10" s="51" t="s">
        <v>115</v>
      </c>
      <c r="AE10" s="54" t="b">
        <v>1</v>
      </c>
    </row>
    <row r="11" spans="1:73" x14ac:dyDescent="0.25">
      <c r="A11" s="51" t="s">
        <v>118</v>
      </c>
      <c r="B11" s="54" t="b">
        <v>1</v>
      </c>
    </row>
    <row r="12" spans="1:73" x14ac:dyDescent="0.25">
      <c r="A12" s="51" t="s">
        <v>121</v>
      </c>
      <c r="B12" s="54" t="b">
        <v>0</v>
      </c>
      <c r="F12" s="51" t="s">
        <v>120</v>
      </c>
      <c r="G12" s="54">
        <v>2</v>
      </c>
    </row>
    <row r="14" spans="1:73" ht="15.75" thickBot="1" x14ac:dyDescent="0.3">
      <c r="A14" s="51" t="s">
        <v>78</v>
      </c>
      <c r="B14" s="53">
        <v>1</v>
      </c>
      <c r="AX14" s="51" t="s">
        <v>79</v>
      </c>
      <c r="AY14" s="53">
        <v>0</v>
      </c>
    </row>
    <row r="15" spans="1:73" s="52" customFormat="1" ht="15.75" thickTop="1" x14ac:dyDescent="0.25">
      <c r="A15" s="52" t="s">
        <v>36</v>
      </c>
      <c r="B15" s="52" t="s">
        <v>37</v>
      </c>
      <c r="C15" s="52" t="s">
        <v>38</v>
      </c>
      <c r="D15" s="52" t="s">
        <v>39</v>
      </c>
      <c r="E15" s="52" t="s">
        <v>40</v>
      </c>
      <c r="F15" s="52" t="s">
        <v>41</v>
      </c>
      <c r="G15" s="52" t="s">
        <v>42</v>
      </c>
      <c r="H15" s="52" t="s">
        <v>43</v>
      </c>
      <c r="I15" s="52" t="s">
        <v>44</v>
      </c>
      <c r="J15" s="52" t="s">
        <v>45</v>
      </c>
      <c r="K15" s="52" t="s">
        <v>46</v>
      </c>
      <c r="AX15" s="52" t="s">
        <v>47</v>
      </c>
      <c r="AY15" s="52" t="s">
        <v>48</v>
      </c>
      <c r="AZ15" s="52" t="s">
        <v>49</v>
      </c>
      <c r="BA15" s="52" t="s">
        <v>39</v>
      </c>
      <c r="BB15" s="52" t="s">
        <v>50</v>
      </c>
      <c r="BC15" s="52" t="s">
        <v>51</v>
      </c>
      <c r="BD15" s="52" t="s">
        <v>52</v>
      </c>
      <c r="BE15" s="52" t="s">
        <v>53</v>
      </c>
      <c r="BF15" s="52" t="s">
        <v>54</v>
      </c>
      <c r="BG15" s="52" t="s">
        <v>55</v>
      </c>
      <c r="BH15" s="52" t="s">
        <v>56</v>
      </c>
      <c r="BI15" s="52" t="s">
        <v>57</v>
      </c>
      <c r="BJ15" s="52" t="s">
        <v>58</v>
      </c>
      <c r="BK15" s="52" t="s">
        <v>59</v>
      </c>
      <c r="BL15" s="52" t="s">
        <v>60</v>
      </c>
      <c r="BM15" s="52" t="s">
        <v>61</v>
      </c>
      <c r="BN15" s="52" t="s">
        <v>62</v>
      </c>
      <c r="BO15" s="52" t="s">
        <v>63</v>
      </c>
      <c r="BP15" s="52" t="s">
        <v>64</v>
      </c>
      <c r="BQ15" s="52" t="s">
        <v>65</v>
      </c>
      <c r="BR15" s="52" t="s">
        <v>66</v>
      </c>
      <c r="BS15" s="52" t="s">
        <v>67</v>
      </c>
      <c r="BT15" s="52" t="s">
        <v>68</v>
      </c>
      <c r="BU15" s="52" t="s">
        <v>69</v>
      </c>
    </row>
    <row r="16" spans="1:73" x14ac:dyDescent="0.25">
      <c r="A16" s="51" t="s">
        <v>151</v>
      </c>
      <c r="B16" s="51">
        <v>0.1</v>
      </c>
      <c r="C16" s="51">
        <v>0.5</v>
      </c>
      <c r="D16" s="57" t="s">
        <v>152</v>
      </c>
      <c r="G16" s="51">
        <v>1</v>
      </c>
      <c r="H16" s="51">
        <f>Game!$H$10</f>
        <v>21132</v>
      </c>
      <c r="I16" s="51">
        <v>18000</v>
      </c>
      <c r="J16" s="51">
        <v>27000</v>
      </c>
      <c r="K16" s="51" t="s">
        <v>154</v>
      </c>
      <c r="L16" s="51">
        <v>0</v>
      </c>
      <c r="M16" s="51" t="b">
        <v>0</v>
      </c>
    </row>
    <row r="17" spans="1:1" x14ac:dyDescent="0.25">
      <c r="A17" s="51" t="s">
        <v>140</v>
      </c>
    </row>
    <row r="18" spans="1:1" x14ac:dyDescent="0.25">
      <c r="A18" s="51" t="s">
        <v>141</v>
      </c>
    </row>
    <row r="19" spans="1:1" x14ac:dyDescent="0.25">
      <c r="A19" s="51" t="s">
        <v>142</v>
      </c>
    </row>
    <row r="20" spans="1:1" x14ac:dyDescent="0.25">
      <c r="A20" s="51" t="s">
        <v>143</v>
      </c>
    </row>
    <row r="21" spans="1:1" x14ac:dyDescent="0.25">
      <c r="A21" s="51" t="s">
        <v>144</v>
      </c>
    </row>
    <row r="22" spans="1:1" x14ac:dyDescent="0.25">
      <c r="A22" s="51" t="s">
        <v>145</v>
      </c>
    </row>
    <row r="23" spans="1:1" x14ac:dyDescent="0.25">
      <c r="A23" s="51" t="s">
        <v>146</v>
      </c>
    </row>
    <row r="24" spans="1:1" x14ac:dyDescent="0.25">
      <c r="A24" s="51" t="s">
        <v>147</v>
      </c>
    </row>
    <row r="25" spans="1:1" x14ac:dyDescent="0.25">
      <c r="A25" s="51" t="s">
        <v>148</v>
      </c>
    </row>
    <row r="26" spans="1:1" x14ac:dyDescent="0.25">
      <c r="A26" s="51" t="s">
        <v>149</v>
      </c>
    </row>
    <row r="27" spans="1:1" x14ac:dyDescent="0.25">
      <c r="A27" s="51"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Game</vt:lpstr>
      <vt:lpstr>Strategy</vt:lpstr>
      <vt:lpstr>ro_HiddenInfo</vt:lpstr>
    </vt:vector>
  </TitlesOfParts>
  <Company>Smeal College of Business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Sandra Transchel</dc:creator>
  <cp:lastModifiedBy>George Oommen, Sandesh</cp:lastModifiedBy>
  <dcterms:created xsi:type="dcterms:W3CDTF">2009-03-17T21:21:50Z</dcterms:created>
  <dcterms:modified xsi:type="dcterms:W3CDTF">2018-04-26T02:17:38Z</dcterms:modified>
</cp:coreProperties>
</file>